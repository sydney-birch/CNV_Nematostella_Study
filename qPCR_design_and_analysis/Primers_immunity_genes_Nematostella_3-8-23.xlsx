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ydney/Library/CloudStorage/GoogleDrive-sbirch1@charlotte.edu/My Drive/Postdoc_work/Immunity_gene_Project/Primer_Design/"/>
    </mc:Choice>
  </mc:AlternateContent>
  <xr:revisionPtr revIDLastSave="0" documentId="13_ncr:1_{3C4693A0-CD27-904E-98BA-4C0C3C5B75C8}" xr6:coauthVersionLast="47" xr6:coauthVersionMax="47" xr10:uidLastSave="{00000000-0000-0000-0000-000000000000}"/>
  <bookViews>
    <workbookView xWindow="30740" yWindow="1560" windowWidth="32920" windowHeight="19780" xr2:uid="{00000000-000D-0000-FFFF-FFFF00000000}"/>
  </bookViews>
  <sheets>
    <sheet name="TRIM" sheetId="1" r:id="rId1"/>
    <sheet name="STING" sheetId="2" r:id="rId2"/>
    <sheet name="CGAS" sheetId="3" r:id="rId3"/>
    <sheet name="Figuring out RXNS" sheetId="4" r:id="rId4"/>
    <sheet name="Figureing out RXNS v2" sheetId="5" r:id="rId5"/>
    <sheet name="Resuspending Prim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O7" i="3"/>
  <c r="O6" i="3"/>
  <c r="O5" i="3"/>
  <c r="O4" i="3"/>
  <c r="O3" i="3"/>
  <c r="O2" i="3"/>
</calcChain>
</file>

<file path=xl/sharedStrings.xml><?xml version="1.0" encoding="utf-8"?>
<sst xmlns="http://schemas.openxmlformats.org/spreadsheetml/2006/main" count="1220" uniqueCount="660">
  <si>
    <t>Gene</t>
  </si>
  <si>
    <t>Primer Name</t>
  </si>
  <si>
    <t>Sequence Left primer</t>
  </si>
  <si>
    <t>Left Primer Start</t>
  </si>
  <si>
    <t>Sequence Right primer</t>
  </si>
  <si>
    <t>Right Primer Start</t>
  </si>
  <si>
    <t>notes on alignment</t>
  </si>
  <si>
    <t>Secondary Structure</t>
  </si>
  <si>
    <t>Annealing Temp</t>
  </si>
  <si>
    <t>Product size</t>
  </si>
  <si>
    <t>GC %</t>
  </si>
  <si>
    <t>Thermofisher Multiple Primer Analyzer Notes</t>
  </si>
  <si>
    <t>Notes from genome Blast - JGI (database = masked.nematostella)</t>
  </si>
  <si>
    <t>Blast Notes from ensemble</t>
  </si>
  <si>
    <t>Blast Notes from Stowers</t>
  </si>
  <si>
    <t>Full Sequence (primer-target-primer)</t>
  </si>
  <si>
    <t>TRIM</t>
  </si>
  <si>
    <t>TRIM_A</t>
  </si>
  <si>
    <t>AGCACCTCATCAAGACTGGC</t>
  </si>
  <si>
    <t>GGTTGTACTGACTGTGGCGA</t>
  </si>
  <si>
    <t>looks good</t>
  </si>
  <si>
    <t>37 - 46.3</t>
  </si>
  <si>
    <t>Set_A_Right dimers w/ Catalase_Right (doesn't dimer with other primers)</t>
  </si>
  <si>
    <t>3 hits (3 scaffolds: 26, 458, 88)  = Nemve1|scaffold_26:547480-562181 ; Nemve1|scaffold_26:547480-562181 ; Nemve1|scaffold_88:27559-27662</t>
  </si>
  <si>
    <t>37 hits with full seq</t>
  </si>
  <si>
    <t>6 hits</t>
  </si>
  <si>
    <t>AGCACCTCATCAAGACTGGCAATGTGGTGATGCTGGGTGGCACGCATGCGCTTATGGCTTGCAATGCACGCCTCACACACCAGTTCGCCACAGTCAGTACAACC</t>
  </si>
  <si>
    <t>TRIM_B</t>
  </si>
  <si>
    <t>GACTGGCAATGTGGTGATGC</t>
  </si>
  <si>
    <t>AGTCAAGATCACGCCAAGGG</t>
  </si>
  <si>
    <t>looks good - one snp in target</t>
  </si>
  <si>
    <t>37 - 47.4</t>
  </si>
  <si>
    <t>Set_B_Left dimers with Catalase Left and Right (Dimers with C)</t>
  </si>
  <si>
    <t>3 hits (3 scaffolds: 88, 4584, 26) = Nemve1|scaffold_26:547459-562168 ; Nemve1|scaffold_4584:1964-6732 ;  Nemve1|scaffold_88:27572-27683</t>
  </si>
  <si>
    <t>34 hits with full seq</t>
  </si>
  <si>
    <t>GACTGGCAATGTGGTGATGCTGGGTGGCACGCATGCGCTTATGGCTTGCAATGCACGCCTCACACACCAGTTCGCCACAGTCAGTACAACCTCCCTTGGCGTGATCTTGACT</t>
  </si>
  <si>
    <t>TRIM_C</t>
  </si>
  <si>
    <t>CATGGCCATTTACCCTCGGT</t>
  </si>
  <si>
    <t>AAAGACCCACGTGTCCTTCC</t>
  </si>
  <si>
    <t>31 - 39</t>
  </si>
  <si>
    <t>60.1, 59.9</t>
  </si>
  <si>
    <t>Set_C_Right_RC dimers with Catalase_Left; self dimers (Dimers with B)</t>
  </si>
  <si>
    <t>2 hits (2 scaffolds: 4584, 26) = Nemve1|scaffold_26:547061-561753 ; Nemve1|scaffold_4584:1566-6317</t>
  </si>
  <si>
    <t>17 hits with full seq</t>
  </si>
  <si>
    <t>5 hits</t>
  </si>
  <si>
    <t>CATGGCCATTTACCCTCGGTTTTATAACGAGAAGCCAGACCAACTAAGCATTCATAACAAAAGGTATGAAGACATGGAAGGACACGTGGGTCTTT</t>
  </si>
  <si>
    <t>TRIM_D</t>
  </si>
  <si>
    <t>TGGTGTTGTCGAGGGTGTTT</t>
  </si>
  <si>
    <t>TGTCCACAGTGCAAGATGGT</t>
  </si>
  <si>
    <t>looks good - 5 snps in target</t>
  </si>
  <si>
    <t>44.1 - 51.3</t>
  </si>
  <si>
    <t>59.7, 59.5</t>
  </si>
  <si>
    <t>No Dimers with Catalase (Doesn't dimer with others)</t>
  </si>
  <si>
    <t>2 hits (2 scaffolds: 26, 4584) = Nemve1|scaffold_26:547154-561871 ; Nemve1|scaffold_4584:1659-6435</t>
  </si>
  <si>
    <t>26 hits with full seq</t>
  </si>
  <si>
    <t>4 hits - all around the same region</t>
  </si>
  <si>
    <t>TGGTGTTGTCGAGGGTGTTTTCGATTATGATGTTTGTAATATAAAGCGGTGGAAACAACGCTGATCAGGATGATTTAGATGAACATGGATTACCTGTACCACCATCTTGCACTGTGGACA</t>
  </si>
  <si>
    <t>TRIM_E</t>
  </si>
  <si>
    <t>TTCTCCCTTGTGCTTGAGGC</t>
  </si>
  <si>
    <t>GCATCACCACATTGCCAGTC</t>
  </si>
  <si>
    <t>37.5-46.3</t>
  </si>
  <si>
    <t>60.3,59.8</t>
  </si>
  <si>
    <t>TTCTCCCTTGTGCTTGAGGCAATACAATGGCTGTTTCATAATGAAGCCTCCATTTAGCACCTCATCAAGACTGGCAATGTGGTGATGC</t>
  </si>
  <si>
    <t>TRIM_F</t>
  </si>
  <si>
    <t>CGCTTATGGCTTGCAATGCA</t>
  </si>
  <si>
    <t>TCAGCAAAACCCCACTGTCA</t>
  </si>
  <si>
    <t>40-48.5</t>
  </si>
  <si>
    <t>60.2, 59.7</t>
  </si>
  <si>
    <t>CGCTTATGGCTTGCAATGCACGCCTCACACACCAGTTCGCCACAGTCAGTACAACCTCCCTTGGCGTGATCTTGACTTGTACACATCTGACAGTGGGGTTTTGCTGA</t>
  </si>
  <si>
    <t>TRIM_G</t>
  </si>
  <si>
    <t>CATGCGCTTATGGCTTGCAA</t>
  </si>
  <si>
    <t>TCCAAGTCAGCAAAACCCCA</t>
  </si>
  <si>
    <t>37.4-48.5</t>
  </si>
  <si>
    <t>CATGCGCTTATGGCTTGCAATGCACGCCTCACACACCAGTTCGCCACAGTCAGTACAACCTCCCTTGGCGTGATCTTGACTTGTACACATCTGACAGTGGGGTTTTGCTGACTTGGA</t>
  </si>
  <si>
    <t>Output from primer 3 notes</t>
  </si>
  <si>
    <t xml:space="preserve">10 primer pair totals - searched for 80-120bp </t>
  </si>
  <si>
    <t>Not using pair: 2(starts in bad spot - beginning), 5(snp in primer seq), 6 (snp in primer seq), 7(snp in primer seq), 8 (starts at begining - bad spot), 9 (starts at begining - bad spot)</t>
  </si>
  <si>
    <t>A=pair 1</t>
  </si>
  <si>
    <t>B= pair3</t>
  </si>
  <si>
    <t>C= Pair 4</t>
  </si>
  <si>
    <t>D = Pair 10</t>
  </si>
  <si>
    <t>E = Pair 5</t>
  </si>
  <si>
    <t>F = Pair 6</t>
  </si>
  <si>
    <t>G = Pair 7</t>
  </si>
  <si>
    <t xml:space="preserve">Output from Thermofisher Multiple Primer Analyzer: </t>
  </si>
  <si>
    <t>Name</t>
  </si>
  <si>
    <t>Sequence</t>
  </si>
  <si>
    <t>Tm°C</t>
  </si>
  <si>
    <t>CG%</t>
  </si>
  <si>
    <t>nt</t>
  </si>
  <si>
    <t>A</t>
  </si>
  <si>
    <t>T</t>
  </si>
  <si>
    <t>C</t>
  </si>
  <si>
    <t>G</t>
  </si>
  <si>
    <t>Extinction coefficient(l/(mol·cm)</t>
  </si>
  <si>
    <t>Molecular weight(g/mol)</t>
  </si>
  <si>
    <t>nmol</t>
  </si>
  <si>
    <t>µg/OD260</t>
  </si>
  <si>
    <t>Set_A_Right</t>
  </si>
  <si>
    <t>ggttgtactgactgtggcga</t>
  </si>
  <si>
    <t>Set_A_Left</t>
  </si>
  <si>
    <t>agcacctcatcaagactggc</t>
  </si>
  <si>
    <t>Set_A_Right_RC</t>
  </si>
  <si>
    <t>tcgccacagtcagtacaacc</t>
  </si>
  <si>
    <t>Set_A_Left_RC</t>
  </si>
  <si>
    <t>gccagtcttgatgaggtgct</t>
  </si>
  <si>
    <t>Set_B_Right</t>
  </si>
  <si>
    <t>agtcaagatcacgccaaggg</t>
  </si>
  <si>
    <t>Set_B_Left</t>
  </si>
  <si>
    <t>gactggcaatgtggtgatgc</t>
  </si>
  <si>
    <t>Set_B_Right_RC</t>
  </si>
  <si>
    <t>cccttggcgtgatcttgact</t>
  </si>
  <si>
    <t>Set_B_Left_RC</t>
  </si>
  <si>
    <t>gcatcaccacattgccagtc</t>
  </si>
  <si>
    <t>Set_C_Right</t>
  </si>
  <si>
    <t>aaagacccacgtgtccttcc</t>
  </si>
  <si>
    <t>Set_C_Left</t>
  </si>
  <si>
    <t>catggccatttaccctcggt</t>
  </si>
  <si>
    <t>Set_C_Right_RC</t>
  </si>
  <si>
    <t>ggaaggacacgtgggtcttt</t>
  </si>
  <si>
    <t>Set_C_Left_RC</t>
  </si>
  <si>
    <t>accgagggtaaatggccatg</t>
  </si>
  <si>
    <t>Set_D_Right</t>
  </si>
  <si>
    <t>tgtccacagtgcaagatggt</t>
  </si>
  <si>
    <t>Set_D_Left</t>
  </si>
  <si>
    <t>tggtgttgtcgagggtgttt</t>
  </si>
  <si>
    <t>Set_D_Right_RC</t>
  </si>
  <si>
    <t>accatcttgcactgtggaca</t>
  </si>
  <si>
    <t>Set_D_Left_RC</t>
  </si>
  <si>
    <t>aaacaccctcgacaacacca</t>
  </si>
  <si>
    <t>Catalase_Left</t>
  </si>
  <si>
    <t>atggtacttctggcctcacg</t>
  </si>
  <si>
    <t>Catalayse_Right</t>
  </si>
  <si>
    <t>tatcacgtgctcgccacat</t>
  </si>
  <si>
    <t>Self-Dimers:</t>
  </si>
  <si>
    <t>1 dimer for: Set_C_Left_RC</t>
  </si>
  <si>
    <t>5-accgagggtaaatggccatg-&gt;</t>
  </si>
  <si>
    <t>||||||||</t>
  </si>
  <si>
    <t>&lt;-gtaccggtaaatgggagcca-5</t>
  </si>
  <si>
    <t>Cross Primer Dimers:</t>
  </si>
  <si>
    <t>Set_A_Right with Set_A_Right_RC</t>
  </si>
  <si>
    <t>5-ggttgtactgactgtggcga-&gt;</t>
  </si>
  <si>
    <t>||||||||||||||||||||</t>
  </si>
  <si>
    <t>&lt;-ccaacatgactgacaccgct-5</t>
  </si>
  <si>
    <t>Set_A_Right with Catalayse_Right</t>
  </si>
  <si>
    <t>&lt;-tacaccgctcgtgcactat-5</t>
  </si>
  <si>
    <t>Set_A_Left with Set_A_Left_RC</t>
  </si>
  <si>
    <t>5-agcacctcatcaagactggc-&gt;</t>
  </si>
  <si>
    <t>&lt;-tcgtggagtagttctgaccg-5</t>
  </si>
  <si>
    <t>Set_A_Left with Set_B_Left_RC</t>
  </si>
  <si>
    <t>|||||||</t>
  </si>
  <si>
    <t>&lt;-ctgaccgttacaccactacg-5</t>
  </si>
  <si>
    <t>Set_B_Right with Set_B_Right_RC</t>
  </si>
  <si>
    <t>5-agtcaagatcacgccaaggg-&gt;</t>
  </si>
  <si>
    <t>&lt;-tcagttctagtgcggttccc-5</t>
  </si>
  <si>
    <t>Set_B_Right with Set_C_Left</t>
  </si>
  <si>
    <t>|| ||||</t>
  </si>
  <si>
    <t>&lt;-tggctcccatttaccggtac-5</t>
  </si>
  <si>
    <t>Set_B_Left with Set_B_Left_RC</t>
  </si>
  <si>
    <t>5-gactggcaatgtggtgatgc-&gt;</t>
  </si>
  <si>
    <t>Set_B_Left with Set_D_Right</t>
  </si>
  <si>
    <t>|| ||| |||||  |</t>
  </si>
  <si>
    <t>&lt;-tggtagaacgtgacacctgt-5</t>
  </si>
  <si>
    <t>Set_B_Left with Set_D_Left_RC</t>
  </si>
  <si>
    <t>||||| ||</t>
  </si>
  <si>
    <t>&lt;-accacaacagctcccacaaa-5</t>
  </si>
  <si>
    <t>Set_B_Left with Catalase_Left</t>
  </si>
  <si>
    <t>|||| ||</t>
  </si>
  <si>
    <t>&lt;-gcactccggtcttcatggta-5</t>
  </si>
  <si>
    <t>Set_B_Left with Catalayse_Right</t>
  </si>
  <si>
    <t>|||||| ||</t>
  </si>
  <si>
    <t>Set_B_Left_RC with Set_C_Left_RC</t>
  </si>
  <si>
    <t>5-gcatcaccacattgccagtc-&gt;</t>
  </si>
  <si>
    <t>||| |||| |</t>
  </si>
  <si>
    <t>Set_B_Left_RC with Set_D_Right_RC</t>
  </si>
  <si>
    <t>|  ||||| ||| ||</t>
  </si>
  <si>
    <t>&lt;-acaggtgtcacgttctacca-5</t>
  </si>
  <si>
    <t>Set_C_Right with Set_C_Right_RC</t>
  </si>
  <si>
    <t>5-aaagacccacgtgtccttcc-&gt;</t>
  </si>
  <si>
    <t>&lt;-tttctgggtgcacaggaagg-5</t>
  </si>
  <si>
    <t>Set_C_Right with Set_D_Left</t>
  </si>
  <si>
    <t>||| |||| ||    |  |</t>
  </si>
  <si>
    <t>&lt;-tttgtgggagctgttgtggt-5</t>
  </si>
  <si>
    <t>Set_C_Left with Set_C_Left_RC</t>
  </si>
  <si>
    <t>5-catggccatttaccctcggt-&gt;</t>
  </si>
  <si>
    <t>Set_C_Right_RC with Set_D_Left_RC</t>
  </si>
  <si>
    <t>5-ggaaggacacgtgggtcttt-&gt;</t>
  </si>
  <si>
    <t>|  |    || |||| |||</t>
  </si>
  <si>
    <t>Set_C_Right_RC with Catalase_Left</t>
  </si>
  <si>
    <t>|||| | |</t>
  </si>
  <si>
    <t>Set_D_Right with Set_D_Right_RC</t>
  </si>
  <si>
    <t>5-tgtccacagtgcaagatggt-&gt;</t>
  </si>
  <si>
    <t>Set_D_Left with Set_D_Left_RC</t>
  </si>
  <si>
    <t>5-tggtgttgtcgagggtgttt-&gt;</t>
  </si>
  <si>
    <t>||||||</t>
  </si>
  <si>
    <t>STING</t>
  </si>
  <si>
    <t>STING_A</t>
  </si>
  <si>
    <t>GCCACACTATTGCTGACCCT</t>
  </si>
  <si>
    <t>CGCAGAAACACCACCACTTG</t>
  </si>
  <si>
    <t xml:space="preserve">One polymorphisim in one seq in left primer </t>
  </si>
  <si>
    <t>37.5-43.4</t>
  </si>
  <si>
    <t>A to D; A to C</t>
  </si>
  <si>
    <t>1 hit: Nemve1|scaffold_197:261351-261445 (98.9 %ident)</t>
  </si>
  <si>
    <t>9 hits</t>
  </si>
  <si>
    <t>3 hits? chr5 bitscore 80-200 (4457106 to 4457200)(4461800 to 4461894)(4466494 to 4466588)</t>
  </si>
  <si>
    <t>GCCACACTATTGCTGACCCTGTATGACATGTCAGTAGCTCAACCAGGAGAGCTGAGTCGTGAGGAGCGTGATGCCCAAGTGGTGGTGTTTCTGCG</t>
  </si>
  <si>
    <t>STING_B</t>
  </si>
  <si>
    <t>AGAAACAGAGCGATGCGTCA</t>
  </si>
  <si>
    <t>ATCGTCTCAGAAGTTCGCCC</t>
  </si>
  <si>
    <t xml:space="preserve">in target seq 2 sites for polymorphisms, primer3 shows secondary structure </t>
  </si>
  <si>
    <t>31-42.6</t>
  </si>
  <si>
    <t>50,55</t>
  </si>
  <si>
    <t>No Dimers</t>
  </si>
  <si>
    <t>2 hits: Nemve1|scaffold_197:262123-262204; Nemve1|scaffold_4256:2555-2636 (100; 97.6 %ident)</t>
  </si>
  <si>
    <t>13 hits</t>
  </si>
  <si>
    <t>3 hits? chr5  bitscore 80-200 (4461041 to 4461122)(4465735 to 4465816)(4456347 to 4456428)</t>
  </si>
  <si>
    <t>AGAAACAGAGCGATGCGTCAATATTCGTTTACATTTTCCCTCGCTTATCTCGCATTCCTTGTGGGCGAACTTCTGAGACGAT</t>
  </si>
  <si>
    <t>STING_C</t>
  </si>
  <si>
    <t>CTGCGGCATTACAAGCACAG</t>
  </si>
  <si>
    <t>AGGGTCAGCAATAGTGTGGC</t>
  </si>
  <si>
    <t>one polymorphism in target in 1 seq, secondry/hairpin structre in left primer from primer3</t>
  </si>
  <si>
    <t>32-46</t>
  </si>
  <si>
    <t>A to C; C to Catalyse</t>
  </si>
  <si>
    <t>1 hit: Nemve1|scaffold_197:261426-261520 (98.9 %ident)</t>
  </si>
  <si>
    <t>3 hits? chr5  bitscore 80-200 ( 4457031 to 4457125)(4461725 to 4461819)(4466419 to 4466513)</t>
  </si>
  <si>
    <t>CTGCGGCATTACAAGCACAGTGTTTATGAGATCAAGGATGGTGAAAATGAACCATGGTTTTGTATCATGGAGTATGCCACACTATTGCTGACCCT</t>
  </si>
  <si>
    <t>STING_D</t>
  </si>
  <si>
    <t>ATGTGTTGTTTGTGGCCAGC</t>
  </si>
  <si>
    <t>TGTGAGGTTCGGCAGTTGAA</t>
  </si>
  <si>
    <t>one site of polymorphosims, one gap in one Right primer seq, two secondary structure from primer3 in left primer</t>
  </si>
  <si>
    <t>29-38.7</t>
  </si>
  <si>
    <t>A to D; D to F; D to Catalase</t>
  </si>
  <si>
    <t>2 hits: Nemve1|scaffold_197:261919-262026; Nemve1|scaffold_4256:2733-2840 (100; 99 %ident)</t>
  </si>
  <si>
    <t>31 hits</t>
  </si>
  <si>
    <t>3 hits? chr5  bitscore &gt;=200  (4461219 to 4461326)(4465913 to 4466020)(4456525 to 4456632)</t>
  </si>
  <si>
    <t>ATGTGTTGTTTGTGGCCAGCTTGCTTTTTTTCGTTGTCTTTGTGGCATCAAATGATCCCAATGGGTCATCCTCAGTCATCCAAGGAAATTCAACTGCCGAACCTCACA</t>
  </si>
  <si>
    <t>STING_E</t>
  </si>
  <si>
    <t>TGTGGGGGCAGTTCATCATC</t>
  </si>
  <si>
    <t>TCAGCTGTGACTCCTCGACT</t>
  </si>
  <si>
    <t>two gaps in target seq - only in two seqs, right primer secondary structure from primer3</t>
  </si>
  <si>
    <t>40.9-48.5</t>
  </si>
  <si>
    <t>2 hits: Nemve1|scaffold_197:261790-26188; Nemve1|scaffold_4256:2874-2969 (100; 100 %ident)</t>
  </si>
  <si>
    <t>3 hits? chr5 bitscore 80-200 (4456666 to 4456761)(4461360 to 4461455)(4466054 to 44661498)</t>
  </si>
  <si>
    <t>TGTGGGGGCAGTTCATCATCTCTGCACTGCTAACCCCGCTGGTTGTGCACTTGCTTGGTTTGCGTGAGCTTTCAAAAGTCGAGGAGTCACAGCTGA</t>
  </si>
  <si>
    <t>STING_F</t>
  </si>
  <si>
    <t>TTCAACTGCCGAACCTCACA</t>
  </si>
  <si>
    <t>AACCAAGCAAGTGCACAACC</t>
  </si>
  <si>
    <t>two gaps in target in two seqs, one site of polym. in target, one gap in right primer in one seq, right primer secondary structure from primer3</t>
  </si>
  <si>
    <t>40.8-47</t>
  </si>
  <si>
    <t>2 hits: Nemve1|scaffold_197:261826-261938; Nemve1|scaffold_4256:2821-2933 (100; 99.1 %ident)</t>
  </si>
  <si>
    <t>15 hits</t>
  </si>
  <si>
    <t>3 hits? chr5 bitscore &gt;=200 (4461307 to 4461419)(4466001 to 4466113)(4456613 to 4456725)</t>
  </si>
  <si>
    <t>TTCAACTGCCGAACCTCACACAGAGATGCGCCAAACCTCTGGGTGGCAGGGTTTGTGGGGGCAGTTCATCATCTCTGCACTGCTAACCCCGCTGGTTGTGCACTTGCTTGGTT</t>
  </si>
  <si>
    <t>STING_G</t>
  </si>
  <si>
    <t>CACACAGAGATGCGCCAAAC</t>
  </si>
  <si>
    <t>TCACGCAAACCAAGCAAGTG</t>
  </si>
  <si>
    <t>38.2-46.4</t>
  </si>
  <si>
    <t>CACACAGAGATGCGCCAAACCTCTGGGTGGCAGGGTTTGTGGGGGCAGTTCATCATCTCTGCACTGCTAACCCCGCTGGTTGTGCACTTGCTTGGTTTGCGTGA</t>
  </si>
  <si>
    <t>STING_H</t>
  </si>
  <si>
    <t>CAACCAGGAGAGCTGAGTCG</t>
  </si>
  <si>
    <t>GCACGATCACCCTCGAGAAT</t>
  </si>
  <si>
    <t>32.7-38.2</t>
  </si>
  <si>
    <t>60, 55</t>
  </si>
  <si>
    <t>CAACCAGGAGAGCTGAGTCGTGAGGAGCGTGATGCCCAAGTGGTGGTGTTTCTGCGTAAACTACAGGACATTCTCGAGGGTGATCGTGC</t>
  </si>
  <si>
    <t>STING_I</t>
  </si>
  <si>
    <t>TGTTGTTTGTGGCCAGCTTG</t>
  </si>
  <si>
    <t>ATCTCTGTGTGAGGTTCGGC</t>
  </si>
  <si>
    <t>32.4-40.3</t>
  </si>
  <si>
    <t>50, 55</t>
  </si>
  <si>
    <t>TGTTGTTTGTGGCCAGCTTGCTTTTTTTCGTTGTCTTTGTGGCATCAAATGATCCCAATGGGTCATCCTCAGTCATCCAAGGAAATTCAACTGCCGAACCTCACACAGAGAT</t>
  </si>
  <si>
    <t>Not using pair: 2(couple of gaps, primer3 shows seconday structure in both), 4(3 secondary structures from primer3), 7 (snps in right primer, lots of ts in left primer, 1 gap at a site, and one site with poly, secondary structures from primer3), 10 (polymorphism site in primer, and gap in one seq in primer)</t>
  </si>
  <si>
    <t>C= Pair 5</t>
  </si>
  <si>
    <t>D = Pair 6</t>
  </si>
  <si>
    <t>E = Pair 7</t>
  </si>
  <si>
    <t>F = Pair 9</t>
  </si>
  <si>
    <t>G = Pair 2</t>
  </si>
  <si>
    <t>H = Pair 4</t>
  </si>
  <si>
    <t>I = Pair 10</t>
  </si>
  <si>
    <t>cgcagaaacaccaccacttg</t>
  </si>
  <si>
    <t>gccacactattgctgaccct</t>
  </si>
  <si>
    <t>atcgtctcagaagttcgccc</t>
  </si>
  <si>
    <t>agaaacagagcgatgcgtca</t>
  </si>
  <si>
    <t>agggtcagcaatagtgtggc</t>
  </si>
  <si>
    <t>ctgcggcattacaagcacag</t>
  </si>
  <si>
    <t>tgtgaggttcggcagttgaa</t>
  </si>
  <si>
    <t>atgtgttgtttgtggccagc</t>
  </si>
  <si>
    <t>Set_E_Right</t>
  </si>
  <si>
    <t>tcagctgtgactcctcgact</t>
  </si>
  <si>
    <t>Set_E_Left</t>
  </si>
  <si>
    <t>tgtgggggcagttcatcatc</t>
  </si>
  <si>
    <t>Set_F_Right</t>
  </si>
  <si>
    <t>aaccaagcaagtgcacaacc</t>
  </si>
  <si>
    <t>Set_F_Left</t>
  </si>
  <si>
    <t>ttcaactgccgaacctcaca</t>
  </si>
  <si>
    <t>Catalase_Right</t>
  </si>
  <si>
    <t>Set_A_Right with Set_D_Left</t>
  </si>
  <si>
    <t>5-cgcagaaacaccaccacttg-&gt;</t>
  </si>
  <si>
    <t>|| ||||| |||</t>
  </si>
  <si>
    <t>&lt;-cgaccggtgtttgttgtgta-5</t>
  </si>
  <si>
    <t>Set_A_Left with Set_C_Right</t>
  </si>
  <si>
    <t>5-gccacactattgctgaccct-&gt;</t>
  </si>
  <si>
    <t>&lt;-cggtgtgataacgactggga-5</t>
  </si>
  <si>
    <t>Set_A_Left with Set_D_Left</t>
  </si>
  <si>
    <t>Set_C_Right with Catalase_Right</t>
  </si>
  <si>
    <t>5-agggtcagcaatagtgtggc-&gt;</t>
  </si>
  <si>
    <t>Set_D_Right with Set_F_Left</t>
  </si>
  <si>
    <t>5-tgtgaggttcggcagttgaa-&gt;</t>
  </si>
  <si>
    <t>&lt;-acactccaagccgtcaactt-5</t>
  </si>
  <si>
    <t>Set_D_Left with Set_F_Right</t>
  </si>
  <si>
    <t>5-atgtgttgtttgtggccagc-&gt;</t>
  </si>
  <si>
    <t>| |||||  |</t>
  </si>
  <si>
    <t>&lt;-ccaacacgtgaacgaaccaa-5</t>
  </si>
  <si>
    <t>Set_D_Left with Catalase_Right</t>
  </si>
  <si>
    <t>|||||| |||</t>
  </si>
  <si>
    <t>CGAS</t>
  </si>
  <si>
    <t>CGAS_A</t>
  </si>
  <si>
    <t>GCGTTTGAGGTGTCTGGAGA</t>
  </si>
  <si>
    <t>AAGACTGCCGAAAGAGGGTG</t>
  </si>
  <si>
    <t>section of indels in target (seq error?) and in right primer</t>
  </si>
  <si>
    <t>35.6-43.5</t>
  </si>
  <si>
    <t>A left with E right</t>
  </si>
  <si>
    <t>2 hits (scaffold 1(100 iden) and scaffold 5245(98.9 ident))</t>
  </si>
  <si>
    <t>20 hits</t>
  </si>
  <si>
    <t>GCGTTTGAGGTGTCTGGAGAATTCTATGTGACCAAGAAGTACAGTGAAACAGCTCACTCCTGTGATCGATATTTCGATATTTCCACCCTCTTTCGGCAGTCTT</t>
  </si>
  <si>
    <t>CGAS_B</t>
  </si>
  <si>
    <t>GGTTGAGGTGGAGGAAAGGG</t>
  </si>
  <si>
    <t>TACTCCCCAGGTCTGAGCAA</t>
  </si>
  <si>
    <t>primer 3 - self secondary in right primer, compl secondary; left primer 1 site for snp, right - one site for snp</t>
  </si>
  <si>
    <t>28.7-34.1</t>
  </si>
  <si>
    <t>60; 59.9</t>
  </si>
  <si>
    <t>60; 55</t>
  </si>
  <si>
    <t>B right with D left; B right with E left; B left with E left; B with catalyse</t>
  </si>
  <si>
    <t>2 hits (scaffold 1(98.1 iden) and scaffold 5245(96.3 ident))</t>
  </si>
  <si>
    <t>30 hits</t>
  </si>
  <si>
    <t>GGTTGAGGTGGAGGAAAGGGCCCAGAATCGTCAAATCCCACATGGCTTTGCACGCTTGAAGTTGCTCAGACCTGGGGAGTA</t>
  </si>
  <si>
    <t>CGAS_C</t>
  </si>
  <si>
    <t>AGGCCGCAGATGAAGTTGAT</t>
  </si>
  <si>
    <t>GAGCAACTTCAAGCGTGCAA</t>
  </si>
  <si>
    <t>couple snps in target</t>
  </si>
  <si>
    <t>30.2-34.2</t>
  </si>
  <si>
    <t>59.7; 60</t>
  </si>
  <si>
    <t>C right with C left, C right with F left</t>
  </si>
  <si>
    <t>2 hits (scaffold 1(98.3 iden) and scaffold 5245(96.6 ident))</t>
  </si>
  <si>
    <t>39 hits</t>
  </si>
  <si>
    <t>AGGCCGCAGATGAAGTTGATGTCATGATTCCTTTAAAAATACGAGGAGGGGTTGAGGTGGAGGAAAGGGCCCAGAATCGTCAAATCCCACATGGCTTTGCACGCTTGAAGTTGCTC</t>
  </si>
  <si>
    <t>CGAS_D</t>
  </si>
  <si>
    <t>TTGCTCAGACCTGGGGAGTA</t>
  </si>
  <si>
    <t>TGATTGCTCTGTCGACGAGG</t>
  </si>
  <si>
    <t>couple snps in target, 2 in left primer, 1 site in right for 1 seq</t>
  </si>
  <si>
    <t>31.3-44.5</t>
  </si>
  <si>
    <t>59.9, 59.8</t>
  </si>
  <si>
    <t>D left with F right</t>
  </si>
  <si>
    <t>2 hits (scaffold 1(99.1 iden) and scaffold 5245(98.1 ident))</t>
  </si>
  <si>
    <t>14 hits</t>
  </si>
  <si>
    <t>TTGCTCAGACCTGGGGAGTATGGCTATGACAGGTTTCTTGATTATGACGACTACCTTAAAGTGGACAAAGTATATCAACATCTGGAGTCCCTCGTCGACAGAGCAATCA</t>
  </si>
  <si>
    <t>CGAS_E</t>
  </si>
  <si>
    <t>TCAGTGAAACACGGACCAGC</t>
  </si>
  <si>
    <t>TCTCCAGACACCTCAAACGC</t>
  </si>
  <si>
    <t>Primers look good same with target</t>
  </si>
  <si>
    <t>36.5-45.8</t>
  </si>
  <si>
    <t>60.5, 60</t>
  </si>
  <si>
    <t>E right with F left</t>
  </si>
  <si>
    <t>2 hits (scaffold 1(100 iden) and scaffold 5245(99 ident))</t>
  </si>
  <si>
    <t>55 hits found</t>
  </si>
  <si>
    <t>TCAGTGAAACACGGACCAGCTGTGCAGCTTGATGTCTACAGATATGACAAGAAGCTGATGTCCATTGACTTGGTCATGGCGTTTGAGGTGTCTGGAGA</t>
  </si>
  <si>
    <t>CGAS_F</t>
  </si>
  <si>
    <t>ATACGAGGAGGGGTTGAGGT</t>
  </si>
  <si>
    <t>CCCCAGGTCTGAGCAACTTC</t>
  </si>
  <si>
    <t>5 snps in target</t>
  </si>
  <si>
    <t>28.8-35.7</t>
  </si>
  <si>
    <t>59.7, 60.3</t>
  </si>
  <si>
    <t>55, 60</t>
  </si>
  <si>
    <t>ATACGAGGAGGGGTTGAGGTGGAGGAAAGGGCCCAGAATCGTCAAATCCCACATGGCTTTGCACGCTTGAAGTTGCTCAGACCTGGGG</t>
  </si>
  <si>
    <t>CGAS_G</t>
  </si>
  <si>
    <t>TCGCCTAGATGGTCAAGGGA</t>
  </si>
  <si>
    <t>TGGTCAGGTTTCCTCTCAGC</t>
  </si>
  <si>
    <t>looks okay - 4 snps in targe, a gap in primer right</t>
  </si>
  <si>
    <t>31.7-42.6</t>
  </si>
  <si>
    <t>60, 59.3</t>
  </si>
  <si>
    <t>2 hits (scaffold 1(100 iden) and scaffold 5245(97.6 ident))</t>
  </si>
  <si>
    <t>23 hits found</t>
  </si>
  <si>
    <t>TCGCCTAGATGGTCAAGGGAATGGCTGTAAAAAAGAGGTGCTAAAGATCATGAAGACAATTGTTTCTACAGACAACTCACAGCTGAGAGGAAACCTGACCA</t>
  </si>
  <si>
    <t>CGAA_H</t>
  </si>
  <si>
    <t>10 primer pair totals - searched for 80-120bp (searched 1st 900 bps -coding region)</t>
  </si>
  <si>
    <t>Not using pair: 5 (big gaps/snps in target - primer in weird spot), 9 ( looks okay but lots of gaps and snps in target)</t>
  </si>
  <si>
    <t>B= pair 2</t>
  </si>
  <si>
    <t>C= Pair 3</t>
  </si>
  <si>
    <t>D = Pair 4</t>
  </si>
  <si>
    <t>E = Pair 6</t>
  </si>
  <si>
    <t>F = Pair 7</t>
  </si>
  <si>
    <t>G = Pair 8</t>
  </si>
  <si>
    <t>H = Pair 10</t>
  </si>
  <si>
    <t>gcgtttgaggtgtctggaga</t>
  </si>
  <si>
    <t>aagactgccgaaagagggtg</t>
  </si>
  <si>
    <t>tactccccaggtctgagcaa</t>
  </si>
  <si>
    <t>ggttgaggtggaggaaaggg</t>
  </si>
  <si>
    <t>gagcaacttcaagcgtgcaa</t>
  </si>
  <si>
    <t>aggccgcagatgaagttgat</t>
  </si>
  <si>
    <t>tgattgctctgtcgacgagg</t>
  </si>
  <si>
    <t>ttgctcagacctggggagta</t>
  </si>
  <si>
    <t>tctccagacacctcaaacgc</t>
  </si>
  <si>
    <t>tcagtgaaacacggaccagc</t>
  </si>
  <si>
    <t>ccccaggtctgagcaacttc</t>
  </si>
  <si>
    <t>atacgaggaggggttgaggt</t>
  </si>
  <si>
    <t>Set_G_Right</t>
  </si>
  <si>
    <t>tggtcaggtttcctctcagc</t>
  </si>
  <si>
    <t>Set_G_Left</t>
  </si>
  <si>
    <t>tcgcctagatggtcaaggga</t>
  </si>
  <si>
    <t>Set_A_Left with Set_E_Right</t>
  </si>
  <si>
    <t>5-gcgtttgaggtgtctggaga-&gt;</t>
  </si>
  <si>
    <t>&lt;-cgcaaactccacagacctct-5</t>
  </si>
  <si>
    <t>Set_B_Right with Set_D_Left</t>
  </si>
  <si>
    <t>5-tactccccaggtctgagcaa-&gt;</t>
  </si>
  <si>
    <t>&lt;-atgaggggtccagactcgtt-5</t>
  </si>
  <si>
    <t>Set_B_Right with Set_E_Left</t>
  </si>
  <si>
    <t>| |||| | |</t>
  </si>
  <si>
    <t>&lt;-cgaccaggcacaaagtgact-5</t>
  </si>
  <si>
    <t>Set_B_Left with Set_E_Right</t>
  </si>
  <si>
    <t>5-ggttgaggtggaggaaaggg-&gt;</t>
  </si>
  <si>
    <t>| ||||||||   | |</t>
  </si>
  <si>
    <t>| | | ||||     |</t>
  </si>
  <si>
    <t>| |||| |   | |</t>
  </si>
  <si>
    <t>Set_C_Right with Set_C_Left</t>
  </si>
  <si>
    <t>5-gagcaacttcaagcgtgcaa-&gt;</t>
  </si>
  <si>
    <t>&lt;-tagttgaagtagacgccgga-5</t>
  </si>
  <si>
    <t>Set_C_Right with Set_F_Left</t>
  </si>
  <si>
    <t>|| |||| |   |</t>
  </si>
  <si>
    <t>&lt;-tggagttggggaggagcata-5</t>
  </si>
  <si>
    <t>Set_C_Left with Set_F_Right</t>
  </si>
  <si>
    <t>5-aggccgcagatgaagttgat-&gt;</t>
  </si>
  <si>
    <t>||||||| |</t>
  </si>
  <si>
    <t>&lt;-cttcaacgagtctggacccc-5</t>
  </si>
  <si>
    <t>5-ttgctcagacctggggagta-&gt;</t>
  </si>
  <si>
    <t>||||||||||||||||</t>
  </si>
  <si>
    <t>Set_E_Right with Set_F_Left</t>
  </si>
  <si>
    <t>5-tctccagacacctcaaacgc-&gt;</t>
  </si>
  <si>
    <t>||||||| | |</t>
  </si>
  <si>
    <t>TRIM (A-D)</t>
  </si>
  <si>
    <t>STING (A-F)</t>
  </si>
  <si>
    <t>cGAS (A-G)</t>
  </si>
  <si>
    <t>TRIM_A_right  to Catalyse_Right</t>
  </si>
  <si>
    <t>Catalase_Left with STING_Set_D_Left</t>
  </si>
  <si>
    <t>Catalayse_Right with cGAS_Set_B_Left</t>
  </si>
  <si>
    <t>RXN 1</t>
  </si>
  <si>
    <t>RXN 2</t>
  </si>
  <si>
    <t>RXN 3</t>
  </si>
  <si>
    <t>RXN 4</t>
  </si>
  <si>
    <t>TRIM_Set_A_Right with STING_Set_C_Left</t>
  </si>
  <si>
    <t>Catalayse_Right with STING_Set_C_Right</t>
  </si>
  <si>
    <t>cGAS_Set_A_Left with cGAS_Set_E_Right</t>
  </si>
  <si>
    <t>3 hits</t>
  </si>
  <si>
    <t>cGAS_F</t>
  </si>
  <si>
    <t>cGAS_G</t>
  </si>
  <si>
    <t>TRIM_Set_A_Left with cGAS_Set_D_Right</t>
  </si>
  <si>
    <t>Catalayse_Right with STING_Set_D_Left</t>
  </si>
  <si>
    <t>cGAS_Set_B_Right with cGAS_Set_D_Left</t>
  </si>
  <si>
    <t>cGAS_E</t>
  </si>
  <si>
    <t>cGAS_A</t>
  </si>
  <si>
    <t>left - 1 hit</t>
  </si>
  <si>
    <t>TRIM_Set_A_Left with cGAS_Set_F_Left</t>
  </si>
  <si>
    <t>STING_Set_A_Right with STING_Set_D_Left</t>
  </si>
  <si>
    <t>cGAS_Set_B_Right with cGAS_Set_E_Left</t>
  </si>
  <si>
    <t>catalyse</t>
  </si>
  <si>
    <t>2 hits</t>
  </si>
  <si>
    <t>TRIM_Set_B_Right with TRIM_Set_C_Left</t>
  </si>
  <si>
    <t>STING_Set_A_Left with STING_Set_C_Right</t>
  </si>
  <si>
    <t>cGAS_Set_B_Left with cGAS_Set_E_Right</t>
  </si>
  <si>
    <t>TRIM_Set_B_Left with TRIM_Set_D_Right</t>
  </si>
  <si>
    <t>STING_Set_A_Left with STING_Set_D_Left</t>
  </si>
  <si>
    <t>cGAS_Set_C_Right with cGAS_Set_C_Left</t>
  </si>
  <si>
    <t>TRIM_Set_B_Left with Catalase_Left</t>
  </si>
  <si>
    <t>STING_Set_A_Left with cGAS_Set_B_Right</t>
  </si>
  <si>
    <t>cGAS_Set_C_Right with cGAS_Set_F_Left</t>
  </si>
  <si>
    <t>TRIM_Set_B_Left with Catalayse_Right</t>
  </si>
  <si>
    <t>STING_Set_B_Right with cGAS_Set_F_Right</t>
  </si>
  <si>
    <t>cGAS_Set_C_Left with cGAS_Set_F_Right</t>
  </si>
  <si>
    <t>TRIM_Set_B_Left with STING_Set_A_Right</t>
  </si>
  <si>
    <t>STING_Set_B_Left with cGAS_Set_D_Right</t>
  </si>
  <si>
    <t>cGAS_Set_D_Left with cGAS_Set_F_Right</t>
  </si>
  <si>
    <t>TRIM_Set_B_Left with STING_Set_D_Left</t>
  </si>
  <si>
    <t>STING_Set_D_Right with STING_Set_F_Left</t>
  </si>
  <si>
    <t>cGAS_Set_E_Right with cGAS_Set_F_Left</t>
  </si>
  <si>
    <t>TRIM_Set_B_Left with STING_Set_E_Left</t>
  </si>
  <si>
    <t>STING_Set_D_Right with cGAS_Set_A_Right</t>
  </si>
  <si>
    <t>TRIM_Set_C_Right with TRIM_Set_D_Left</t>
  </si>
  <si>
    <t>STING_Set_D_Right with cGAS_Set_F_Right</t>
  </si>
  <si>
    <t>cgas A</t>
  </si>
  <si>
    <t>sting_c</t>
  </si>
  <si>
    <t>1 hit left</t>
  </si>
  <si>
    <t>TRIM_Set_C_Right with cGAS_Set_A_Right</t>
  </si>
  <si>
    <t>STING_Set_D_Left with STING_Set_F_Right</t>
  </si>
  <si>
    <t>B</t>
  </si>
  <si>
    <t>1 hit left, 2 hits right</t>
  </si>
  <si>
    <t>TRIM_Set_C_Right with cGAS_Set_B_Left</t>
  </si>
  <si>
    <t>STING_Set_E_Right with cGAS_Set_D_Right</t>
  </si>
  <si>
    <t>2 hit left, 1 hit right</t>
  </si>
  <si>
    <t>TRIM_Set_C_Left with cGAS_Set_A_Right</t>
  </si>
  <si>
    <t>STING_Set_E_Right with cGAS_Set_D_Left</t>
  </si>
  <si>
    <t>D</t>
  </si>
  <si>
    <t>TRIM_Set_C_Left with cGAS_Set_G_Left</t>
  </si>
  <si>
    <t>STING_Set_E_Right with cGAS_Set_F_Left</t>
  </si>
  <si>
    <t>E</t>
  </si>
  <si>
    <t>TRIM_Set_D_Right with STING_Set_C_Right</t>
  </si>
  <si>
    <t>STING_Set_E_Right with cGAS_Set_G_Right</t>
  </si>
  <si>
    <t>F</t>
  </si>
  <si>
    <t>1 hit</t>
  </si>
  <si>
    <t>TRIM_Set_D_Right with cGAS_Set_C_Right</t>
  </si>
  <si>
    <t>STING_Set_F_Left with cGAS_Set_C_Left</t>
  </si>
  <si>
    <t>TRIM_Set_D_Right with cGAS_Set_D_Right</t>
  </si>
  <si>
    <t>STING_Set_F_Left with cGAS_Set_F_Left</t>
  </si>
  <si>
    <t>TRIM_Set_D_Left with STING_Set_E_Right</t>
  </si>
  <si>
    <t>Size</t>
  </si>
  <si>
    <t>Left Primer start</t>
  </si>
  <si>
    <t>right primer start</t>
  </si>
  <si>
    <t>gc</t>
  </si>
  <si>
    <t>55,60</t>
  </si>
  <si>
    <t>left 2 hits right 1 hit</t>
  </si>
  <si>
    <t>Nemve1|scaffold_68:708520-708539</t>
  </si>
  <si>
    <t>Nemve1|scaffold_68:708439-708457</t>
  </si>
  <si>
    <t>TRIM_Set_A_Right with Catalayse_Right</t>
  </si>
  <si>
    <t>TRIM_Set_A_Right</t>
  </si>
  <si>
    <t>| ||||| || |   |</t>
  </si>
  <si>
    <t>&lt;-gacacgaacattacggcgtc-5</t>
  </si>
  <si>
    <t>TRIM_Set_A_Left</t>
  </si>
  <si>
    <t>|||| || | |  |</t>
  </si>
  <si>
    <t>&lt;-ggagcagctgtctcgttagt-5</t>
  </si>
  <si>
    <t>|||||| |    |</t>
  </si>
  <si>
    <t>TRIM_Set_B_Right</t>
  </si>
  <si>
    <t>TRIM_Set_B_Left</t>
  </si>
  <si>
    <t>| |||||| ||</t>
  </si>
  <si>
    <t>&lt;-gttcaccaccacaaagacgc-5</t>
  </si>
  <si>
    <t>||||| |</t>
  </si>
  <si>
    <t>| |||||</t>
  </si>
  <si>
    <t>&lt;-ctactacttgacgggggtgt-5</t>
  </si>
  <si>
    <t>TRIM_Set_C_Right</t>
  </si>
  <si>
    <t>&lt;-gtgggagaaagccgtcagaa-5</t>
  </si>
  <si>
    <t>| | |||| |</t>
  </si>
  <si>
    <t>&lt;-gggaaaggaggtggagttgg-5</t>
  </si>
  <si>
    <t>TRIM_Set_C_Left</t>
  </si>
  <si>
    <t>||||||  |</t>
  </si>
  <si>
    <t>| || |||| ||  |</t>
  </si>
  <si>
    <t>&lt;-agggaactggtagatccgct-5</t>
  </si>
  <si>
    <t>TRIM_Set_D_Right</t>
  </si>
  <si>
    <t>|||| | | |</t>
  </si>
  <si>
    <t>&lt;-aacgtgcgaacttcaacgag-5</t>
  </si>
  <si>
    <t>||| |||| ||||</t>
  </si>
  <si>
    <t>TRIM_Set_D_Left</t>
  </si>
  <si>
    <t>&lt;-tcagctcctcagtgtcgact-5</t>
  </si>
  <si>
    <t>5-atggtacttctggcctcacg-&gt;</t>
  </si>
  <si>
    <t>STING_Set_A_Right</t>
  </si>
  <si>
    <t>STING_Set_A_Left</t>
  </si>
  <si>
    <t>||||| |  |</t>
  </si>
  <si>
    <t>&lt;-aacgagtctggacccctcat-5</t>
  </si>
  <si>
    <t>STING_Set_B_Right</t>
  </si>
  <si>
    <t>5-atcgtctcagaagttcgccc-&gt;</t>
  </si>
  <si>
    <t>||||||   |</t>
  </si>
  <si>
    <t>STING_Set_B_Left</t>
  </si>
  <si>
    <t>5-agaaacagagcgatgcgtca-&gt;</t>
  </si>
  <si>
    <t>||||||| ||</t>
  </si>
  <si>
    <t>STING_Set_D_Right</t>
  </si>
  <si>
    <t>|||||||||</t>
  </si>
  <si>
    <t>STING_Set_D_Left</t>
  </si>
  <si>
    <t>STING_Set_E_Right</t>
  </si>
  <si>
    <t>5-tcagctgtgactcctcgact-&gt;</t>
  </si>
  <si>
    <t>||| |||||</t>
  </si>
  <si>
    <t>||||| |   |</t>
  </si>
  <si>
    <t>|||| ||     |</t>
  </si>
  <si>
    <t>&lt;-cgactctcctttggactggt-5</t>
  </si>
  <si>
    <t>STING_Set_F_Left</t>
  </si>
  <si>
    <t>5-ttcaactgccgaacctcaca-&gt;</t>
  </si>
  <si>
    <t>|||| |||| |</t>
  </si>
  <si>
    <t>cGAS_Set_A_Left</t>
  </si>
  <si>
    <t>cGAS_Set_B_Right</t>
  </si>
  <si>
    <t>cGAS_Set_B_Left</t>
  </si>
  <si>
    <t>cGAS_Set_C_Right</t>
  </si>
  <si>
    <t>cGAS_Set_C_Left</t>
  </si>
  <si>
    <t>cGAS_Set_D_Left</t>
  </si>
  <si>
    <t>cGAS_Set_E_Right</t>
  </si>
  <si>
    <t>TRIM (E-G)</t>
  </si>
  <si>
    <t>STING (G-I)</t>
  </si>
  <si>
    <t>cGAS (F and G)</t>
  </si>
  <si>
    <t>1 dimer for: TRIM_Set_F_Left</t>
  </si>
  <si>
    <t>1 dimer for: STING_Set_I_Left</t>
  </si>
  <si>
    <t>1 dimer for: TRIM_Set_G_Left</t>
  </si>
  <si>
    <t>STING_Set_G_Left with cGAS_Set_G_Right</t>
  </si>
  <si>
    <t>TRIM_Set_E_Right with TRIM_Set_F_Right</t>
  </si>
  <si>
    <t>STING_Set_H_Right with cGAS_Set_G_Left</t>
  </si>
  <si>
    <t>TRIM_Set_E_Left with STING_Set_H_Right</t>
  </si>
  <si>
    <t>STING_Set_H_Left with cGAS_Set_G_Right</t>
  </si>
  <si>
    <t>TRIM_Set_E_Left with Catalase_Left</t>
  </si>
  <si>
    <t>STING_Set_I_Right with Catalase_Left</t>
  </si>
  <si>
    <t>TRIM_Set_E_Left with cGAS_Set_G_Left</t>
  </si>
  <si>
    <t>STING_Set_I_Left with Catalayse_Right</t>
  </si>
  <si>
    <t>TRIM_Set_G_Right with STING_Set_H_Left</t>
  </si>
  <si>
    <t>STING_Set_I_Left with STING_Set_A_Right</t>
  </si>
  <si>
    <t>TRIM_Set_G_Right with STING_Set_A_Left</t>
  </si>
  <si>
    <t>5-cgcttatggcttgcaatgca-&gt;</t>
  </si>
  <si>
    <t>|||| ||||</t>
  </si>
  <si>
    <t>&lt;-acgtaacgttcggtattcgc-5</t>
  </si>
  <si>
    <t>5-catgcgcttatggcttgcaa-&gt;</t>
  </si>
  <si>
    <t>&lt;-aacgttcggtattcgcgtac-5</t>
  </si>
  <si>
    <t>5-tgttgtttgtggccagcttg-&gt;</t>
  </si>
  <si>
    <t>| |||| |</t>
  </si>
  <si>
    <t>&lt;-gttcgaccggtgtttgttgt-5</t>
  </si>
  <si>
    <t>TRIM_Set_E_Right</t>
  </si>
  <si>
    <t>&lt;-actgtcaccccaaaacgact-5</t>
  </si>
  <si>
    <t>TRIM_Set_E_Right with TRIM_Set_F_Left</t>
  </si>
  <si>
    <t>|||||| || |</t>
  </si>
  <si>
    <t>TRIM_Set_E_Right with TRIM_Set_G_Left</t>
  </si>
  <si>
    <t>|||| || |</t>
  </si>
  <si>
    <t>TRIM_Set_E_Left</t>
  </si>
  <si>
    <t>5-ttctcccttgtgcttgaggc-&gt;</t>
  </si>
  <si>
    <t>| || ||||</t>
  </si>
  <si>
    <t>&lt;-taagagctcccactagcacg-5</t>
  </si>
  <si>
    <t>| ||||||</t>
  </si>
  <si>
    <t>|||||||  | |   |</t>
  </si>
  <si>
    <t>TRIM_Set_F_Left with TRIM_Set_G_Left</t>
  </si>
  <si>
    <t>TRIM_Set_F_Left</t>
  </si>
  <si>
    <t>||||||  ||</t>
  </si>
  <si>
    <t>TRIM_Set_G_Right</t>
  </si>
  <si>
    <t>5-tccaagtcagcaaaacccca-&gt;</t>
  </si>
  <si>
    <t>| | |||||    |</t>
  </si>
  <si>
    <t>&lt;-gctgagtcgagaggaccaac-5</t>
  </si>
  <si>
    <t>|||||||| |</t>
  </si>
  <si>
    <t>&lt;-tcccagtcgttatcacaccg-5</t>
  </si>
  <si>
    <t>STING_Set_G_Right with STING_Set_A_Right</t>
  </si>
  <si>
    <t>STING_Set_G_Right</t>
  </si>
  <si>
    <t>5-tcacgcaaaccaagcaagtg-&gt;</t>
  </si>
  <si>
    <t>STING_Set_G_Left with STING_Set_I_Right</t>
  </si>
  <si>
    <t>STING_Set_G_Left</t>
  </si>
  <si>
    <t>5-cacacagagatgcgccaaac-&gt;</t>
  </si>
  <si>
    <t>|||||||||||</t>
  </si>
  <si>
    <t>&lt;-cggcttggagtgtgtctcta-5</t>
  </si>
  <si>
    <t>| |||| |   |</t>
  </si>
  <si>
    <t>STING_Set_H_Right</t>
  </si>
  <si>
    <t>5-gcacgatcaccctcgagaat-&gt;</t>
  </si>
  <si>
    <t>|||| ||  ||</t>
  </si>
  <si>
    <t>STING_Set_H_Left</t>
  </si>
  <si>
    <t>5-caaccaggagagctgagtcg-&gt;</t>
  </si>
  <si>
    <t>|    |||| | ||||</t>
  </si>
  <si>
    <t>STING_Set_I_Right</t>
  </si>
  <si>
    <t>5-atctctgtgtgaggttcggc-&gt;</t>
  </si>
  <si>
    <t>STING_Set_I_Left</t>
  </si>
  <si>
    <t>|||||| |||  |</t>
  </si>
  <si>
    <t>|| ||||| ||</t>
  </si>
  <si>
    <t>Primer</t>
  </si>
  <si>
    <t xml:space="preserve">Amt of TE buffer or Water to add for 10uM concentration </t>
  </si>
  <si>
    <t xml:space="preserve">use IDT resuspession calculator: </t>
  </si>
  <si>
    <t>https://www.idtdna.com/calc/resuspension/</t>
  </si>
  <si>
    <t>cGAS_Set_F_Right</t>
  </si>
  <si>
    <t>1.8 ml</t>
  </si>
  <si>
    <t>cGAS_Set_F_Left</t>
  </si>
  <si>
    <t>1.7 ml</t>
  </si>
  <si>
    <t>cGAS_Set_G_Right</t>
  </si>
  <si>
    <t>cGAS_Set_G_Left</t>
  </si>
  <si>
    <t>1.8ml</t>
  </si>
  <si>
    <t>1.9ml</t>
  </si>
  <si>
    <t>1.8mL</t>
  </si>
  <si>
    <t>2 ml</t>
  </si>
  <si>
    <t>1.9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</si>
</sst>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sz val="10"/>
      <color rgb="FF000000"/>
      <name val="Arial"/>
      <family val="2"/>
    </font>
    <font>
      <strike/>
      <sz val="10"/>
      <color theme="1"/>
      <name val="Arial"/>
      <family val="2"/>
      <scheme val="minor"/>
    </font>
    <font>
      <b/>
      <strike/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2" borderId="3" xfId="0" applyFont="1" applyFill="1" applyBorder="1"/>
    <xf numFmtId="0" fontId="3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wrapText="1"/>
    </xf>
    <xf numFmtId="0" fontId="4" fillId="4" borderId="3" xfId="0" applyFont="1" applyFill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2" borderId="5" xfId="0" applyFont="1" applyFill="1" applyBorder="1"/>
    <xf numFmtId="0" fontId="2" fillId="0" borderId="6" xfId="0" applyFont="1" applyBorder="1" applyAlignment="1">
      <alignment horizontal="center"/>
    </xf>
    <xf numFmtId="0" fontId="4" fillId="4" borderId="0" xfId="0" applyFont="1" applyFill="1"/>
    <xf numFmtId="0" fontId="4" fillId="2" borderId="0" xfId="0" applyFont="1" applyFill="1"/>
    <xf numFmtId="0" fontId="2" fillId="0" borderId="6" xfId="0" applyFont="1" applyBorder="1"/>
    <xf numFmtId="0" fontId="5" fillId="5" borderId="0" xfId="0" applyFont="1" applyFill="1"/>
    <xf numFmtId="0" fontId="2" fillId="3" borderId="3" xfId="0" applyFont="1" applyFill="1" applyBorder="1"/>
    <xf numFmtId="0" fontId="6" fillId="0" borderId="0" xfId="0" applyFont="1"/>
    <xf numFmtId="0" fontId="2" fillId="3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3" xfId="0" applyFont="1" applyFill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8" fillId="0" borderId="0" xfId="0" applyFont="1"/>
    <xf numFmtId="0" fontId="2" fillId="8" borderId="8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4" xfId="0" applyFont="1" applyFill="1" applyBorder="1"/>
    <xf numFmtId="0" fontId="2" fillId="8" borderId="4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tdna.com/calc/resuspens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9"/>
  <sheetViews>
    <sheetView tabSelected="1" workbookViewId="0">
      <pane xSplit="2" topLeftCell="C1" activePane="topRight" state="frozen"/>
      <selection pane="topRight" activeCell="F34" sqref="F34"/>
    </sheetView>
  </sheetViews>
  <sheetFormatPr baseColWidth="10" defaultColWidth="12.6640625" defaultRowHeight="15.75" customHeight="1" x14ac:dyDescent="0.15"/>
  <cols>
    <col min="3" max="3" width="24.1640625" customWidth="1"/>
    <col min="4" max="4" width="13.1640625" customWidth="1"/>
    <col min="5" max="5" width="24.1640625" customWidth="1"/>
    <col min="6" max="6" width="14.1640625" customWidth="1"/>
    <col min="7" max="7" width="23.33203125" customWidth="1"/>
    <col min="8" max="8" width="16.1640625" customWidth="1"/>
    <col min="12" max="12" width="55" customWidth="1"/>
    <col min="13" max="13" width="60" customWidth="1"/>
    <col min="14" max="14" width="21" customWidth="1"/>
    <col min="15" max="15" width="26.1640625" customWidth="1"/>
    <col min="16" max="16" width="28" customWidth="1"/>
  </cols>
  <sheetData>
    <row r="1" spans="1:1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5.75" customHeight="1" x14ac:dyDescent="0.15">
      <c r="A2" s="6" t="s">
        <v>16</v>
      </c>
      <c r="B2" s="7" t="s">
        <v>17</v>
      </c>
      <c r="C2" s="7" t="s">
        <v>18</v>
      </c>
      <c r="D2" s="8">
        <v>662</v>
      </c>
      <c r="E2" s="50" t="s">
        <v>19</v>
      </c>
      <c r="F2" s="8">
        <v>765</v>
      </c>
      <c r="G2" s="7" t="s">
        <v>20</v>
      </c>
      <c r="H2" s="9" t="s">
        <v>21</v>
      </c>
      <c r="I2" s="9">
        <v>60</v>
      </c>
      <c r="J2" s="9">
        <v>104</v>
      </c>
      <c r="K2" s="9">
        <v>55</v>
      </c>
      <c r="L2" s="7" t="s">
        <v>22</v>
      </c>
      <c r="M2" s="10" t="s">
        <v>23</v>
      </c>
      <c r="N2" s="7" t="s">
        <v>24</v>
      </c>
      <c r="O2" s="7" t="s">
        <v>25</v>
      </c>
      <c r="P2" s="7" t="s">
        <v>26</v>
      </c>
    </row>
    <row r="3" spans="1:16" ht="15.75" customHeight="1" x14ac:dyDescent="0.15">
      <c r="A3" s="6" t="s">
        <v>16</v>
      </c>
      <c r="B3" s="7" t="s">
        <v>27</v>
      </c>
      <c r="C3" s="7" t="s">
        <v>28</v>
      </c>
      <c r="D3" s="8">
        <v>675</v>
      </c>
      <c r="E3" s="51" t="s">
        <v>29</v>
      </c>
      <c r="F3" s="8">
        <v>786</v>
      </c>
      <c r="G3" s="7" t="s">
        <v>30</v>
      </c>
      <c r="H3" s="9" t="s">
        <v>31</v>
      </c>
      <c r="I3" s="9">
        <v>59.8</v>
      </c>
      <c r="J3" s="9">
        <v>112</v>
      </c>
      <c r="K3" s="9">
        <v>55</v>
      </c>
      <c r="L3" s="7" t="s">
        <v>32</v>
      </c>
      <c r="M3" s="10" t="s">
        <v>33</v>
      </c>
      <c r="N3" s="7" t="s">
        <v>34</v>
      </c>
      <c r="O3" s="7" t="s">
        <v>25</v>
      </c>
      <c r="P3" s="7" t="s">
        <v>35</v>
      </c>
    </row>
    <row r="4" spans="1:16" ht="15.75" customHeight="1" x14ac:dyDescent="0.15">
      <c r="A4" s="6" t="s">
        <v>16</v>
      </c>
      <c r="B4" s="7" t="s">
        <v>36</v>
      </c>
      <c r="C4" s="7" t="s">
        <v>37</v>
      </c>
      <c r="D4" s="8">
        <v>1090</v>
      </c>
      <c r="E4" s="51" t="s">
        <v>38</v>
      </c>
      <c r="F4" s="8">
        <v>1184</v>
      </c>
      <c r="G4" s="7" t="s">
        <v>30</v>
      </c>
      <c r="H4" s="9" t="s">
        <v>39</v>
      </c>
      <c r="I4" s="9" t="s">
        <v>40</v>
      </c>
      <c r="J4" s="9">
        <v>95</v>
      </c>
      <c r="K4" s="9">
        <v>55</v>
      </c>
      <c r="L4" s="7" t="s">
        <v>41</v>
      </c>
      <c r="M4" s="10" t="s">
        <v>42</v>
      </c>
      <c r="N4" s="7" t="s">
        <v>43</v>
      </c>
      <c r="O4" s="7" t="s">
        <v>44</v>
      </c>
      <c r="P4" s="7" t="s">
        <v>45</v>
      </c>
    </row>
    <row r="5" spans="1:16" ht="15.75" customHeight="1" x14ac:dyDescent="0.15">
      <c r="A5" s="6" t="s">
        <v>16</v>
      </c>
      <c r="B5" s="7" t="s">
        <v>46</v>
      </c>
      <c r="C5" s="7" t="s">
        <v>47</v>
      </c>
      <c r="D5" s="8">
        <v>972</v>
      </c>
      <c r="E5" s="51" t="s">
        <v>48</v>
      </c>
      <c r="F5" s="8">
        <v>1091</v>
      </c>
      <c r="G5" s="51" t="s">
        <v>49</v>
      </c>
      <c r="H5" s="52" t="s">
        <v>50</v>
      </c>
      <c r="I5" s="9" t="s">
        <v>51</v>
      </c>
      <c r="J5" s="9">
        <v>120</v>
      </c>
      <c r="K5" s="9">
        <v>50</v>
      </c>
      <c r="L5" s="11" t="s">
        <v>52</v>
      </c>
      <c r="M5" s="10" t="s">
        <v>53</v>
      </c>
      <c r="N5" s="7" t="s">
        <v>54</v>
      </c>
      <c r="O5" s="7" t="s">
        <v>55</v>
      </c>
      <c r="P5" s="7" t="s">
        <v>56</v>
      </c>
    </row>
    <row r="6" spans="1:16" ht="15.75" customHeight="1" x14ac:dyDescent="0.15">
      <c r="B6" s="7" t="s">
        <v>57</v>
      </c>
      <c r="C6" s="6" t="s">
        <v>58</v>
      </c>
      <c r="D6" s="8">
        <v>611</v>
      </c>
      <c r="E6" s="51" t="s">
        <v>59</v>
      </c>
      <c r="F6" s="8">
        <v>698</v>
      </c>
      <c r="G6" s="7"/>
      <c r="H6" s="9" t="s">
        <v>60</v>
      </c>
      <c r="I6" s="9" t="s">
        <v>61</v>
      </c>
      <c r="J6" s="9">
        <v>88</v>
      </c>
      <c r="K6" s="9">
        <v>55</v>
      </c>
      <c r="P6" s="6" t="s">
        <v>62</v>
      </c>
    </row>
    <row r="7" spans="1:16" ht="15.75" customHeight="1" x14ac:dyDescent="0.15">
      <c r="B7" s="7" t="s">
        <v>63</v>
      </c>
      <c r="C7" s="6" t="s">
        <v>64</v>
      </c>
      <c r="D7" s="8">
        <v>714</v>
      </c>
      <c r="E7" s="51" t="s">
        <v>65</v>
      </c>
      <c r="F7" s="8">
        <v>820</v>
      </c>
      <c r="G7" s="7"/>
      <c r="H7" s="9" t="s">
        <v>66</v>
      </c>
      <c r="I7" s="9" t="s">
        <v>67</v>
      </c>
      <c r="J7" s="9">
        <v>107</v>
      </c>
      <c r="K7" s="9">
        <v>50</v>
      </c>
      <c r="P7" s="6" t="s">
        <v>68</v>
      </c>
    </row>
    <row r="8" spans="1:16" ht="15.75" customHeight="1" x14ac:dyDescent="0.15">
      <c r="B8" s="7" t="s">
        <v>69</v>
      </c>
      <c r="C8" s="6" t="s">
        <v>70</v>
      </c>
      <c r="D8" s="8">
        <v>710</v>
      </c>
      <c r="E8" s="51" t="s">
        <v>71</v>
      </c>
      <c r="F8" s="8">
        <v>826</v>
      </c>
      <c r="G8" s="7"/>
      <c r="H8" s="9" t="s">
        <v>72</v>
      </c>
      <c r="I8" s="9" t="s">
        <v>67</v>
      </c>
      <c r="J8" s="9">
        <v>117</v>
      </c>
      <c r="K8" s="9">
        <v>50</v>
      </c>
      <c r="P8" s="6" t="s">
        <v>73</v>
      </c>
    </row>
    <row r="11" spans="1:16" ht="15.75" customHeight="1" x14ac:dyDescent="0.15">
      <c r="A11" s="6" t="s">
        <v>74</v>
      </c>
    </row>
    <row r="12" spans="1:16" ht="15.75" customHeight="1" x14ac:dyDescent="0.15">
      <c r="A12" s="6" t="s">
        <v>75</v>
      </c>
    </row>
    <row r="13" spans="1:16" ht="15.75" customHeight="1" x14ac:dyDescent="0.15">
      <c r="A13" s="6" t="s">
        <v>76</v>
      </c>
    </row>
    <row r="15" spans="1:16" ht="15.75" customHeight="1" x14ac:dyDescent="0.15">
      <c r="A15" s="6" t="s">
        <v>77</v>
      </c>
    </row>
    <row r="16" spans="1:16" ht="15.75" customHeight="1" x14ac:dyDescent="0.15">
      <c r="A16" s="6" t="s">
        <v>78</v>
      </c>
    </row>
    <row r="17" spans="1:16" ht="15.75" customHeight="1" x14ac:dyDescent="0.15">
      <c r="A17" s="6" t="s">
        <v>79</v>
      </c>
    </row>
    <row r="18" spans="1:16" ht="15.75" customHeight="1" x14ac:dyDescent="0.15">
      <c r="A18" s="6" t="s">
        <v>80</v>
      </c>
    </row>
    <row r="19" spans="1:16" ht="15.75" customHeight="1" x14ac:dyDescent="0.15">
      <c r="A19" s="6" t="s">
        <v>81</v>
      </c>
    </row>
    <row r="20" spans="1:16" ht="15.75" customHeight="1" x14ac:dyDescent="0.15">
      <c r="A20" s="6" t="s">
        <v>82</v>
      </c>
    </row>
    <row r="21" spans="1:16" ht="15.75" customHeight="1" x14ac:dyDescent="0.15">
      <c r="A21" s="6" t="s">
        <v>83</v>
      </c>
    </row>
    <row r="25" spans="1:16" ht="15.75" customHeight="1" x14ac:dyDescent="0.15">
      <c r="A25" s="12" t="s">
        <v>84</v>
      </c>
    </row>
    <row r="26" spans="1:16" ht="15.75" customHeight="1" x14ac:dyDescent="0.15">
      <c r="A26" s="6" t="s">
        <v>85</v>
      </c>
      <c r="B26" s="6" t="s">
        <v>86</v>
      </c>
      <c r="C26" s="6" t="s">
        <v>87</v>
      </c>
      <c r="D26" s="6" t="s">
        <v>88</v>
      </c>
      <c r="E26" s="6" t="s">
        <v>89</v>
      </c>
      <c r="F26" s="6" t="s">
        <v>90</v>
      </c>
      <c r="G26" s="6" t="s">
        <v>91</v>
      </c>
      <c r="H26" s="6" t="s">
        <v>92</v>
      </c>
      <c r="I26" s="6" t="s">
        <v>93</v>
      </c>
      <c r="J26" s="6" t="s">
        <v>94</v>
      </c>
      <c r="K26" s="6" t="s">
        <v>95</v>
      </c>
      <c r="L26" s="6" t="s">
        <v>96</v>
      </c>
      <c r="M26" s="6"/>
      <c r="N26" s="6"/>
      <c r="O26" s="6"/>
      <c r="P26" s="6" t="s">
        <v>97</v>
      </c>
    </row>
    <row r="27" spans="1:16" ht="15.75" customHeight="1" x14ac:dyDescent="0.15">
      <c r="A27" s="6" t="s">
        <v>98</v>
      </c>
      <c r="B27" s="6" t="s">
        <v>99</v>
      </c>
      <c r="C27" s="6">
        <v>64.3</v>
      </c>
      <c r="D27" s="6">
        <v>55</v>
      </c>
      <c r="E27" s="6">
        <v>20</v>
      </c>
      <c r="F27" s="6">
        <v>3</v>
      </c>
      <c r="G27" s="6">
        <v>6</v>
      </c>
      <c r="H27" s="6">
        <v>3</v>
      </c>
      <c r="I27" s="6">
        <v>8</v>
      </c>
      <c r="J27" s="6">
        <v>192500</v>
      </c>
      <c r="K27" s="6">
        <v>6204.1</v>
      </c>
      <c r="L27" s="6">
        <v>5.2</v>
      </c>
      <c r="M27" s="6"/>
      <c r="N27" s="6"/>
      <c r="O27" s="6"/>
      <c r="P27" s="6">
        <v>32.200000000000003</v>
      </c>
    </row>
    <row r="28" spans="1:16" ht="15.75" customHeight="1" x14ac:dyDescent="0.15">
      <c r="A28" s="6" t="s">
        <v>100</v>
      </c>
      <c r="B28" s="6" t="s">
        <v>101</v>
      </c>
      <c r="C28" s="6">
        <v>64.900000000000006</v>
      </c>
      <c r="D28" s="6">
        <v>55</v>
      </c>
      <c r="E28" s="6">
        <v>20</v>
      </c>
      <c r="F28" s="6">
        <v>6</v>
      </c>
      <c r="G28" s="6">
        <v>3</v>
      </c>
      <c r="H28" s="6">
        <v>7</v>
      </c>
      <c r="I28" s="6">
        <v>4</v>
      </c>
      <c r="J28" s="6">
        <v>191100</v>
      </c>
      <c r="K28" s="6">
        <v>6071</v>
      </c>
      <c r="L28" s="6">
        <v>5.2</v>
      </c>
      <c r="M28" s="6"/>
      <c r="N28" s="6"/>
      <c r="O28" s="6"/>
      <c r="P28" s="6">
        <v>31.8</v>
      </c>
    </row>
    <row r="29" spans="1:16" ht="15.75" customHeight="1" x14ac:dyDescent="0.15">
      <c r="A29" s="6" t="s">
        <v>102</v>
      </c>
      <c r="B29" s="6" t="s">
        <v>103</v>
      </c>
      <c r="C29" s="6">
        <v>64.3</v>
      </c>
      <c r="D29" s="6">
        <v>55</v>
      </c>
      <c r="E29" s="6">
        <v>20</v>
      </c>
      <c r="F29" s="6">
        <v>6</v>
      </c>
      <c r="G29" s="6">
        <v>3</v>
      </c>
      <c r="H29" s="6">
        <v>8</v>
      </c>
      <c r="I29" s="6">
        <v>3</v>
      </c>
      <c r="J29" s="6">
        <v>190300</v>
      </c>
      <c r="K29" s="6">
        <v>6031</v>
      </c>
      <c r="L29" s="6">
        <v>5.3</v>
      </c>
      <c r="M29" s="6"/>
      <c r="N29" s="6"/>
      <c r="O29" s="6"/>
      <c r="P29" s="6">
        <v>31.7</v>
      </c>
    </row>
    <row r="30" spans="1:16" ht="15.75" customHeight="1" x14ac:dyDescent="0.15">
      <c r="A30" s="6" t="s">
        <v>104</v>
      </c>
      <c r="B30" s="6" t="s">
        <v>105</v>
      </c>
      <c r="C30" s="6">
        <v>64.900000000000006</v>
      </c>
      <c r="D30" s="6">
        <v>55</v>
      </c>
      <c r="E30" s="6">
        <v>20</v>
      </c>
      <c r="F30" s="6">
        <v>3</v>
      </c>
      <c r="G30" s="6">
        <v>6</v>
      </c>
      <c r="H30" s="6">
        <v>4</v>
      </c>
      <c r="I30" s="6">
        <v>7</v>
      </c>
      <c r="J30" s="6">
        <v>187900</v>
      </c>
      <c r="K30" s="6">
        <v>6164.1</v>
      </c>
      <c r="L30" s="6">
        <v>5.3</v>
      </c>
      <c r="M30" s="6"/>
      <c r="N30" s="6"/>
      <c r="O30" s="6"/>
      <c r="P30" s="6">
        <v>32.799999999999997</v>
      </c>
    </row>
    <row r="31" spans="1:16" ht="15.75" customHeight="1" x14ac:dyDescent="0.15">
      <c r="A31" s="6" t="s">
        <v>106</v>
      </c>
      <c r="B31" s="6" t="s">
        <v>107</v>
      </c>
      <c r="C31" s="6">
        <v>66.8</v>
      </c>
      <c r="D31" s="6">
        <v>55</v>
      </c>
      <c r="E31" s="6">
        <v>20</v>
      </c>
      <c r="F31" s="6">
        <v>7</v>
      </c>
      <c r="G31" s="6">
        <v>2</v>
      </c>
      <c r="H31" s="6">
        <v>5</v>
      </c>
      <c r="I31" s="6">
        <v>6</v>
      </c>
      <c r="J31" s="6">
        <v>204100</v>
      </c>
      <c r="K31" s="6">
        <v>6160.1</v>
      </c>
      <c r="L31" s="6">
        <v>4.9000000000000004</v>
      </c>
      <c r="M31" s="6"/>
      <c r="N31" s="6"/>
      <c r="O31" s="6"/>
      <c r="P31" s="6">
        <v>30.2</v>
      </c>
    </row>
    <row r="32" spans="1:16" ht="15.75" customHeight="1" x14ac:dyDescent="0.15">
      <c r="A32" s="6" t="s">
        <v>108</v>
      </c>
      <c r="B32" s="6" t="s">
        <v>109</v>
      </c>
      <c r="C32" s="6">
        <v>67.099999999999994</v>
      </c>
      <c r="D32" s="6">
        <v>55</v>
      </c>
      <c r="E32" s="6">
        <v>20</v>
      </c>
      <c r="F32" s="6">
        <v>4</v>
      </c>
      <c r="G32" s="6">
        <v>5</v>
      </c>
      <c r="H32" s="6">
        <v>3</v>
      </c>
      <c r="I32" s="6">
        <v>8</v>
      </c>
      <c r="J32" s="6">
        <v>194000</v>
      </c>
      <c r="K32" s="6">
        <v>6213.1</v>
      </c>
      <c r="L32" s="6">
        <v>5.2</v>
      </c>
      <c r="M32" s="6"/>
      <c r="N32" s="6"/>
      <c r="O32" s="6"/>
      <c r="P32" s="6">
        <v>32</v>
      </c>
    </row>
    <row r="33" spans="1:16" ht="15.75" customHeight="1" x14ac:dyDescent="0.15">
      <c r="A33" s="6" t="s">
        <v>110</v>
      </c>
      <c r="B33" s="6" t="s">
        <v>111</v>
      </c>
      <c r="C33" s="6">
        <v>66.8</v>
      </c>
      <c r="D33" s="6">
        <v>55</v>
      </c>
      <c r="E33" s="6">
        <v>20</v>
      </c>
      <c r="F33" s="6">
        <v>2</v>
      </c>
      <c r="G33" s="6">
        <v>7</v>
      </c>
      <c r="H33" s="6">
        <v>6</v>
      </c>
      <c r="I33" s="6">
        <v>5</v>
      </c>
      <c r="J33" s="6">
        <v>175700</v>
      </c>
      <c r="K33" s="6">
        <v>6075</v>
      </c>
      <c r="L33" s="6">
        <v>5.7</v>
      </c>
      <c r="M33" s="6"/>
      <c r="N33" s="6"/>
      <c r="O33" s="6"/>
      <c r="P33" s="6">
        <v>34.6</v>
      </c>
    </row>
    <row r="34" spans="1:16" ht="15.75" customHeight="1" x14ac:dyDescent="0.15">
      <c r="A34" s="6" t="s">
        <v>112</v>
      </c>
      <c r="B34" s="6" t="s">
        <v>113</v>
      </c>
      <c r="C34" s="6">
        <v>67.099999999999994</v>
      </c>
      <c r="D34" s="6">
        <v>55</v>
      </c>
      <c r="E34" s="6">
        <v>20</v>
      </c>
      <c r="F34" s="6">
        <v>5</v>
      </c>
      <c r="G34" s="6">
        <v>4</v>
      </c>
      <c r="H34" s="6">
        <v>8</v>
      </c>
      <c r="I34" s="6">
        <v>3</v>
      </c>
      <c r="J34" s="6">
        <v>185000</v>
      </c>
      <c r="K34" s="6">
        <v>6022</v>
      </c>
      <c r="L34" s="6">
        <v>5.4</v>
      </c>
      <c r="M34" s="6"/>
      <c r="N34" s="6"/>
      <c r="O34" s="6"/>
      <c r="P34" s="6">
        <v>32.6</v>
      </c>
    </row>
    <row r="35" spans="1:16" ht="15.75" customHeight="1" x14ac:dyDescent="0.15">
      <c r="A35" s="6" t="s">
        <v>114</v>
      </c>
      <c r="B35" s="6" t="s">
        <v>115</v>
      </c>
      <c r="C35" s="6">
        <v>65.599999999999994</v>
      </c>
      <c r="D35" s="6">
        <v>55</v>
      </c>
      <c r="E35" s="6">
        <v>20</v>
      </c>
      <c r="F35" s="6">
        <v>5</v>
      </c>
      <c r="G35" s="6">
        <v>4</v>
      </c>
      <c r="H35" s="6">
        <v>8</v>
      </c>
      <c r="I35" s="6">
        <v>3</v>
      </c>
      <c r="J35" s="6">
        <v>185700</v>
      </c>
      <c r="K35" s="6">
        <v>6022</v>
      </c>
      <c r="L35" s="6">
        <v>5.4</v>
      </c>
      <c r="M35" s="6"/>
      <c r="N35" s="6"/>
      <c r="O35" s="6"/>
      <c r="P35" s="6">
        <v>32.4</v>
      </c>
    </row>
    <row r="36" spans="1:16" ht="15.75" customHeight="1" x14ac:dyDescent="0.15">
      <c r="A36" s="6" t="s">
        <v>116</v>
      </c>
      <c r="B36" s="6" t="s">
        <v>117</v>
      </c>
      <c r="C36" s="6">
        <v>68.099999999999994</v>
      </c>
      <c r="D36" s="6">
        <v>55</v>
      </c>
      <c r="E36" s="6">
        <v>20</v>
      </c>
      <c r="F36" s="6">
        <v>3</v>
      </c>
      <c r="G36" s="6">
        <v>6</v>
      </c>
      <c r="H36" s="6">
        <v>7</v>
      </c>
      <c r="I36" s="6">
        <v>4</v>
      </c>
      <c r="J36" s="6">
        <v>179100</v>
      </c>
      <c r="K36" s="6">
        <v>6044</v>
      </c>
      <c r="L36" s="6">
        <v>5.6</v>
      </c>
      <c r="M36" s="6"/>
      <c r="N36" s="6"/>
      <c r="O36" s="6"/>
      <c r="P36" s="6">
        <v>33.700000000000003</v>
      </c>
    </row>
    <row r="37" spans="1:16" ht="15.75" customHeight="1" x14ac:dyDescent="0.15">
      <c r="A37" s="6" t="s">
        <v>118</v>
      </c>
      <c r="B37" s="6" t="s">
        <v>119</v>
      </c>
      <c r="C37" s="6">
        <v>65.599999999999994</v>
      </c>
      <c r="D37" s="6">
        <v>55</v>
      </c>
      <c r="E37" s="6">
        <v>20</v>
      </c>
      <c r="F37" s="6">
        <v>4</v>
      </c>
      <c r="G37" s="6">
        <v>5</v>
      </c>
      <c r="H37" s="6">
        <v>3</v>
      </c>
      <c r="I37" s="6">
        <v>8</v>
      </c>
      <c r="J37" s="6">
        <v>195700</v>
      </c>
      <c r="K37" s="6">
        <v>6213.1</v>
      </c>
      <c r="L37" s="6">
        <v>5.0999999999999996</v>
      </c>
      <c r="M37" s="6"/>
      <c r="N37" s="6"/>
      <c r="O37" s="6"/>
      <c r="P37" s="6">
        <v>31.7</v>
      </c>
    </row>
    <row r="38" spans="1:16" ht="15.75" customHeight="1" x14ac:dyDescent="0.15">
      <c r="A38" s="6" t="s">
        <v>120</v>
      </c>
      <c r="B38" s="6" t="s">
        <v>121</v>
      </c>
      <c r="C38" s="6">
        <v>68.099999999999994</v>
      </c>
      <c r="D38" s="6">
        <v>55</v>
      </c>
      <c r="E38" s="6">
        <v>20</v>
      </c>
      <c r="F38" s="6">
        <v>6</v>
      </c>
      <c r="G38" s="6">
        <v>3</v>
      </c>
      <c r="H38" s="6">
        <v>4</v>
      </c>
      <c r="I38" s="6">
        <v>7</v>
      </c>
      <c r="J38" s="6">
        <v>202300</v>
      </c>
      <c r="K38" s="6">
        <v>6191.1</v>
      </c>
      <c r="L38" s="6">
        <v>4.9000000000000004</v>
      </c>
      <c r="M38" s="6"/>
      <c r="N38" s="6"/>
      <c r="O38" s="6"/>
      <c r="P38" s="6">
        <v>30.6</v>
      </c>
    </row>
    <row r="39" spans="1:16" ht="15.75" customHeight="1" x14ac:dyDescent="0.15">
      <c r="A39" s="6" t="s">
        <v>122</v>
      </c>
      <c r="B39" s="6" t="s">
        <v>123</v>
      </c>
      <c r="C39" s="6">
        <v>64.900000000000006</v>
      </c>
      <c r="D39" s="6">
        <v>50</v>
      </c>
      <c r="E39" s="6">
        <v>20</v>
      </c>
      <c r="F39" s="6">
        <v>5</v>
      </c>
      <c r="G39" s="6">
        <v>5</v>
      </c>
      <c r="H39" s="6">
        <v>4</v>
      </c>
      <c r="I39" s="6">
        <v>6</v>
      </c>
      <c r="J39" s="6">
        <v>195500</v>
      </c>
      <c r="K39" s="6">
        <v>6157.1</v>
      </c>
      <c r="L39" s="6">
        <v>5.0999999999999996</v>
      </c>
      <c r="M39" s="6"/>
      <c r="N39" s="6"/>
      <c r="O39" s="6"/>
      <c r="P39" s="6">
        <v>31.5</v>
      </c>
    </row>
    <row r="40" spans="1:16" ht="15.75" customHeight="1" x14ac:dyDescent="0.15">
      <c r="A40" s="6" t="s">
        <v>124</v>
      </c>
      <c r="B40" s="6" t="s">
        <v>125</v>
      </c>
      <c r="C40" s="6">
        <v>65.8</v>
      </c>
      <c r="D40" s="6">
        <v>50</v>
      </c>
      <c r="E40" s="6">
        <v>20</v>
      </c>
      <c r="F40" s="6">
        <v>1</v>
      </c>
      <c r="G40" s="6">
        <v>9</v>
      </c>
      <c r="H40" s="6">
        <v>1</v>
      </c>
      <c r="I40" s="6">
        <v>9</v>
      </c>
      <c r="J40" s="6">
        <v>188400</v>
      </c>
      <c r="K40" s="6">
        <v>6241.1</v>
      </c>
      <c r="L40" s="6">
        <v>5.3</v>
      </c>
      <c r="M40" s="6"/>
      <c r="N40" s="6"/>
      <c r="O40" s="6"/>
      <c r="P40" s="6">
        <v>33.1</v>
      </c>
    </row>
    <row r="41" spans="1:16" ht="15.75" customHeight="1" x14ac:dyDescent="0.15">
      <c r="A41" s="6" t="s">
        <v>126</v>
      </c>
      <c r="B41" s="6" t="s">
        <v>127</v>
      </c>
      <c r="C41" s="6">
        <v>64.900000000000006</v>
      </c>
      <c r="D41" s="6">
        <v>50</v>
      </c>
      <c r="E41" s="6">
        <v>20</v>
      </c>
      <c r="F41" s="6">
        <v>5</v>
      </c>
      <c r="G41" s="6">
        <v>5</v>
      </c>
      <c r="H41" s="6">
        <v>6</v>
      </c>
      <c r="I41" s="6">
        <v>4</v>
      </c>
      <c r="J41" s="6">
        <v>189300</v>
      </c>
      <c r="K41" s="6">
        <v>6077</v>
      </c>
      <c r="L41" s="6">
        <v>5.3</v>
      </c>
      <c r="M41" s="6"/>
      <c r="N41" s="6"/>
      <c r="O41" s="6"/>
      <c r="P41" s="6">
        <v>32.1</v>
      </c>
    </row>
    <row r="42" spans="1:16" ht="15.75" customHeight="1" x14ac:dyDescent="0.15">
      <c r="A42" s="6" t="s">
        <v>128</v>
      </c>
      <c r="B42" s="6" t="s">
        <v>129</v>
      </c>
      <c r="C42" s="6">
        <v>65.8</v>
      </c>
      <c r="D42" s="6">
        <v>50</v>
      </c>
      <c r="E42" s="6">
        <v>20</v>
      </c>
      <c r="F42" s="6">
        <v>9</v>
      </c>
      <c r="G42" s="6">
        <v>1</v>
      </c>
      <c r="H42" s="6">
        <v>9</v>
      </c>
      <c r="I42" s="6">
        <v>1</v>
      </c>
      <c r="J42" s="6">
        <v>196800</v>
      </c>
      <c r="K42" s="6">
        <v>5993</v>
      </c>
      <c r="L42" s="6">
        <v>5.0999999999999996</v>
      </c>
      <c r="M42" s="6"/>
      <c r="N42" s="6"/>
      <c r="O42" s="6"/>
      <c r="P42" s="6">
        <v>30.5</v>
      </c>
    </row>
    <row r="43" spans="1:16" ht="15.75" customHeight="1" x14ac:dyDescent="0.15">
      <c r="A43" s="6" t="s">
        <v>130</v>
      </c>
      <c r="B43" s="6" t="s">
        <v>131</v>
      </c>
      <c r="C43" s="6">
        <v>64.400000000000006</v>
      </c>
      <c r="D43" s="6">
        <v>55</v>
      </c>
      <c r="E43" s="6">
        <v>20</v>
      </c>
      <c r="F43" s="6">
        <v>3</v>
      </c>
      <c r="G43" s="6">
        <v>6</v>
      </c>
      <c r="H43" s="6">
        <v>6</v>
      </c>
      <c r="I43" s="6">
        <v>5</v>
      </c>
      <c r="J43" s="6">
        <v>182600</v>
      </c>
      <c r="K43" s="6">
        <v>6084</v>
      </c>
      <c r="L43" s="6">
        <v>5.5</v>
      </c>
      <c r="M43" s="6"/>
      <c r="N43" s="6"/>
      <c r="O43" s="6"/>
      <c r="P43" s="6">
        <v>33.299999999999997</v>
      </c>
    </row>
    <row r="44" spans="1:16" ht="15.75" customHeight="1" x14ac:dyDescent="0.15">
      <c r="A44" s="6" t="s">
        <v>132</v>
      </c>
      <c r="B44" s="6" t="s">
        <v>133</v>
      </c>
      <c r="C44" s="6">
        <v>65.900000000000006</v>
      </c>
      <c r="D44" s="6">
        <v>52.6</v>
      </c>
      <c r="E44" s="6">
        <v>19</v>
      </c>
      <c r="F44" s="6">
        <v>4</v>
      </c>
      <c r="G44" s="6">
        <v>5</v>
      </c>
      <c r="H44" s="6">
        <v>7</v>
      </c>
      <c r="I44" s="6">
        <v>3</v>
      </c>
      <c r="J44" s="6">
        <v>173400</v>
      </c>
      <c r="K44" s="6">
        <v>5723.8</v>
      </c>
      <c r="L44" s="6">
        <v>5.8</v>
      </c>
      <c r="M44" s="6"/>
      <c r="N44" s="6"/>
      <c r="O44" s="6"/>
      <c r="P44" s="6">
        <v>33</v>
      </c>
    </row>
    <row r="47" spans="1:16" ht="13" x14ac:dyDescent="0.15">
      <c r="A47" s="6" t="s">
        <v>134</v>
      </c>
    </row>
    <row r="49" spans="1:1" ht="13" x14ac:dyDescent="0.15">
      <c r="A49" s="6" t="s">
        <v>135</v>
      </c>
    </row>
    <row r="50" spans="1:1" ht="13" x14ac:dyDescent="0.15">
      <c r="A50" s="6" t="s">
        <v>136</v>
      </c>
    </row>
    <row r="51" spans="1:1" ht="13" x14ac:dyDescent="0.15">
      <c r="A51" s="6" t="s">
        <v>137</v>
      </c>
    </row>
    <row r="52" spans="1:1" ht="13" x14ac:dyDescent="0.15">
      <c r="A52" s="6" t="s">
        <v>138</v>
      </c>
    </row>
    <row r="55" spans="1:1" ht="13" x14ac:dyDescent="0.15">
      <c r="A55" s="6" t="s">
        <v>139</v>
      </c>
    </row>
    <row r="57" spans="1:1" ht="13" x14ac:dyDescent="0.15">
      <c r="A57" s="6" t="s">
        <v>140</v>
      </c>
    </row>
    <row r="58" spans="1:1" ht="13" x14ac:dyDescent="0.15">
      <c r="A58" s="6" t="s">
        <v>98</v>
      </c>
    </row>
    <row r="59" spans="1:1" ht="13" x14ac:dyDescent="0.15">
      <c r="A59" s="6" t="s">
        <v>141</v>
      </c>
    </row>
    <row r="60" spans="1:1" ht="13" x14ac:dyDescent="0.15">
      <c r="A60" s="6" t="s">
        <v>142</v>
      </c>
    </row>
    <row r="61" spans="1:1" ht="13" x14ac:dyDescent="0.15">
      <c r="A61" s="6" t="s">
        <v>143</v>
      </c>
    </row>
    <row r="63" spans="1:1" ht="13" x14ac:dyDescent="0.15">
      <c r="A63" s="13" t="s">
        <v>144</v>
      </c>
    </row>
    <row r="64" spans="1:1" ht="13" x14ac:dyDescent="0.15">
      <c r="A64" s="6" t="s">
        <v>98</v>
      </c>
    </row>
    <row r="65" spans="1:1" ht="13" x14ac:dyDescent="0.15">
      <c r="A65" s="6" t="s">
        <v>141</v>
      </c>
    </row>
    <row r="66" spans="1:1" ht="13" x14ac:dyDescent="0.15">
      <c r="A66" s="6" t="s">
        <v>137</v>
      </c>
    </row>
    <row r="67" spans="1:1" ht="13" x14ac:dyDescent="0.15">
      <c r="A67" s="6" t="s">
        <v>145</v>
      </c>
    </row>
    <row r="69" spans="1:1" ht="13" x14ac:dyDescent="0.15">
      <c r="A69" s="6" t="s">
        <v>146</v>
      </c>
    </row>
    <row r="70" spans="1:1" ht="13" x14ac:dyDescent="0.15">
      <c r="A70" s="6" t="s">
        <v>100</v>
      </c>
    </row>
    <row r="71" spans="1:1" ht="13" x14ac:dyDescent="0.15">
      <c r="A71" s="6" t="s">
        <v>147</v>
      </c>
    </row>
    <row r="72" spans="1:1" ht="13" x14ac:dyDescent="0.15">
      <c r="A72" s="6" t="s">
        <v>142</v>
      </c>
    </row>
    <row r="73" spans="1:1" ht="13" x14ac:dyDescent="0.15">
      <c r="A73" s="6" t="s">
        <v>148</v>
      </c>
    </row>
    <row r="75" spans="1:1" ht="13" x14ac:dyDescent="0.15">
      <c r="A75" s="14" t="s">
        <v>149</v>
      </c>
    </row>
    <row r="76" spans="1:1" ht="13" x14ac:dyDescent="0.15">
      <c r="A76" s="6" t="s">
        <v>100</v>
      </c>
    </row>
    <row r="77" spans="1:1" ht="13" x14ac:dyDescent="0.15">
      <c r="A77" s="6" t="s">
        <v>147</v>
      </c>
    </row>
    <row r="78" spans="1:1" ht="13" x14ac:dyDescent="0.15">
      <c r="A78" s="6" t="s">
        <v>150</v>
      </c>
    </row>
    <row r="79" spans="1:1" ht="13" x14ac:dyDescent="0.15">
      <c r="A79" s="6" t="s">
        <v>151</v>
      </c>
    </row>
    <row r="81" spans="1:1" ht="13" x14ac:dyDescent="0.15">
      <c r="A81" s="6" t="s">
        <v>152</v>
      </c>
    </row>
    <row r="82" spans="1:1" ht="13" x14ac:dyDescent="0.15">
      <c r="A82" s="6" t="s">
        <v>106</v>
      </c>
    </row>
    <row r="83" spans="1:1" ht="13" x14ac:dyDescent="0.15">
      <c r="A83" s="6" t="s">
        <v>153</v>
      </c>
    </row>
    <row r="84" spans="1:1" ht="13" x14ac:dyDescent="0.15">
      <c r="A84" s="6" t="s">
        <v>142</v>
      </c>
    </row>
    <row r="85" spans="1:1" ht="13" x14ac:dyDescent="0.15">
      <c r="A85" s="6" t="s">
        <v>154</v>
      </c>
    </row>
    <row r="87" spans="1:1" ht="13" x14ac:dyDescent="0.15">
      <c r="A87" s="14" t="s">
        <v>155</v>
      </c>
    </row>
    <row r="88" spans="1:1" ht="13" x14ac:dyDescent="0.15">
      <c r="A88" s="6" t="s">
        <v>106</v>
      </c>
    </row>
    <row r="89" spans="1:1" ht="13" x14ac:dyDescent="0.15">
      <c r="A89" s="6" t="s">
        <v>153</v>
      </c>
    </row>
    <row r="90" spans="1:1" ht="13" x14ac:dyDescent="0.15">
      <c r="A90" s="6" t="s">
        <v>156</v>
      </c>
    </row>
    <row r="91" spans="1:1" ht="13" x14ac:dyDescent="0.15">
      <c r="A91" s="6" t="s">
        <v>157</v>
      </c>
    </row>
    <row r="93" spans="1:1" ht="13" x14ac:dyDescent="0.15">
      <c r="A93" s="6" t="s">
        <v>158</v>
      </c>
    </row>
    <row r="94" spans="1:1" ht="13" x14ac:dyDescent="0.15">
      <c r="A94" s="6" t="s">
        <v>108</v>
      </c>
    </row>
    <row r="95" spans="1:1" ht="13" x14ac:dyDescent="0.15">
      <c r="A95" s="6" t="s">
        <v>159</v>
      </c>
    </row>
    <row r="96" spans="1:1" ht="13" x14ac:dyDescent="0.15">
      <c r="A96" s="6" t="s">
        <v>142</v>
      </c>
    </row>
    <row r="97" spans="1:1" ht="13" x14ac:dyDescent="0.15">
      <c r="A97" s="6" t="s">
        <v>151</v>
      </c>
    </row>
    <row r="99" spans="1:1" ht="13" x14ac:dyDescent="0.15">
      <c r="A99" s="14" t="s">
        <v>160</v>
      </c>
    </row>
    <row r="100" spans="1:1" ht="13" x14ac:dyDescent="0.15">
      <c r="A100" s="6" t="s">
        <v>108</v>
      </c>
    </row>
    <row r="101" spans="1:1" ht="13" x14ac:dyDescent="0.15">
      <c r="A101" s="6" t="s">
        <v>159</v>
      </c>
    </row>
    <row r="102" spans="1:1" ht="13" x14ac:dyDescent="0.15">
      <c r="A102" s="6" t="s">
        <v>161</v>
      </c>
    </row>
    <row r="103" spans="1:1" ht="13" x14ac:dyDescent="0.15">
      <c r="A103" s="6" t="s">
        <v>162</v>
      </c>
    </row>
    <row r="105" spans="1:1" ht="13" x14ac:dyDescent="0.15">
      <c r="A105" s="6" t="s">
        <v>163</v>
      </c>
    </row>
    <row r="106" spans="1:1" ht="13" x14ac:dyDescent="0.15">
      <c r="A106" s="6" t="s">
        <v>108</v>
      </c>
    </row>
    <row r="107" spans="1:1" ht="13" x14ac:dyDescent="0.15">
      <c r="A107" s="6" t="s">
        <v>159</v>
      </c>
    </row>
    <row r="108" spans="1:1" ht="13" x14ac:dyDescent="0.15">
      <c r="A108" s="6" t="s">
        <v>164</v>
      </c>
    </row>
    <row r="109" spans="1:1" ht="13" x14ac:dyDescent="0.15">
      <c r="A109" s="6" t="s">
        <v>165</v>
      </c>
    </row>
    <row r="111" spans="1:1" ht="13" x14ac:dyDescent="0.15">
      <c r="A111" s="13" t="s">
        <v>166</v>
      </c>
    </row>
    <row r="112" spans="1:1" ht="13" x14ac:dyDescent="0.15">
      <c r="A112" s="6" t="s">
        <v>108</v>
      </c>
    </row>
    <row r="113" spans="1:1" ht="13" x14ac:dyDescent="0.15">
      <c r="A113" s="6" t="s">
        <v>159</v>
      </c>
    </row>
    <row r="114" spans="1:1" ht="13" x14ac:dyDescent="0.15">
      <c r="A114" s="6" t="s">
        <v>167</v>
      </c>
    </row>
    <row r="115" spans="1:1" ht="13" x14ac:dyDescent="0.15">
      <c r="A115" s="6" t="s">
        <v>168</v>
      </c>
    </row>
    <row r="117" spans="1:1" ht="13" x14ac:dyDescent="0.15">
      <c r="A117" s="13" t="s">
        <v>169</v>
      </c>
    </row>
    <row r="118" spans="1:1" ht="13" x14ac:dyDescent="0.15">
      <c r="A118" s="6" t="s">
        <v>108</v>
      </c>
    </row>
    <row r="119" spans="1:1" ht="13" x14ac:dyDescent="0.15">
      <c r="A119" s="6" t="s">
        <v>159</v>
      </c>
    </row>
    <row r="120" spans="1:1" ht="13" x14ac:dyDescent="0.15">
      <c r="A120" s="6" t="s">
        <v>170</v>
      </c>
    </row>
    <row r="121" spans="1:1" ht="13" x14ac:dyDescent="0.15">
      <c r="A121" s="6" t="s">
        <v>145</v>
      </c>
    </row>
    <row r="123" spans="1:1" ht="13" x14ac:dyDescent="0.15">
      <c r="A123" s="6" t="s">
        <v>171</v>
      </c>
    </row>
    <row r="124" spans="1:1" ht="13" x14ac:dyDescent="0.15">
      <c r="A124" s="6" t="s">
        <v>112</v>
      </c>
    </row>
    <row r="125" spans="1:1" ht="13" x14ac:dyDescent="0.15">
      <c r="A125" s="6" t="s">
        <v>172</v>
      </c>
    </row>
    <row r="126" spans="1:1" ht="13" x14ac:dyDescent="0.15">
      <c r="A126" s="6" t="s">
        <v>173</v>
      </c>
    </row>
    <row r="127" spans="1:1" ht="13" x14ac:dyDescent="0.15">
      <c r="A127" s="6" t="s">
        <v>138</v>
      </c>
    </row>
    <row r="129" spans="1:1" ht="13" x14ac:dyDescent="0.15">
      <c r="A129" s="6" t="s">
        <v>174</v>
      </c>
    </row>
    <row r="130" spans="1:1" ht="13" x14ac:dyDescent="0.15">
      <c r="A130" s="6" t="s">
        <v>112</v>
      </c>
    </row>
    <row r="131" spans="1:1" ht="13" x14ac:dyDescent="0.15">
      <c r="A131" s="6" t="s">
        <v>172</v>
      </c>
    </row>
    <row r="132" spans="1:1" ht="13" x14ac:dyDescent="0.15">
      <c r="A132" s="6" t="s">
        <v>175</v>
      </c>
    </row>
    <row r="133" spans="1:1" ht="13" x14ac:dyDescent="0.15">
      <c r="A133" s="6" t="s">
        <v>176</v>
      </c>
    </row>
    <row r="135" spans="1:1" ht="13" x14ac:dyDescent="0.15">
      <c r="A135" s="6" t="s">
        <v>177</v>
      </c>
    </row>
    <row r="136" spans="1:1" ht="13" x14ac:dyDescent="0.15">
      <c r="A136" s="6" t="s">
        <v>114</v>
      </c>
    </row>
    <row r="137" spans="1:1" ht="13" x14ac:dyDescent="0.15">
      <c r="A137" s="6" t="s">
        <v>178</v>
      </c>
    </row>
    <row r="138" spans="1:1" ht="13" x14ac:dyDescent="0.15">
      <c r="A138" s="6" t="s">
        <v>142</v>
      </c>
    </row>
    <row r="139" spans="1:1" ht="13" x14ac:dyDescent="0.15">
      <c r="A139" s="6" t="s">
        <v>179</v>
      </c>
    </row>
    <row r="141" spans="1:1" ht="13" x14ac:dyDescent="0.15">
      <c r="A141" s="6" t="s">
        <v>180</v>
      </c>
    </row>
    <row r="142" spans="1:1" ht="13" x14ac:dyDescent="0.15">
      <c r="A142" s="6" t="s">
        <v>114</v>
      </c>
    </row>
    <row r="143" spans="1:1" ht="13" x14ac:dyDescent="0.15">
      <c r="A143" s="6" t="s">
        <v>178</v>
      </c>
    </row>
    <row r="144" spans="1:1" ht="13" x14ac:dyDescent="0.15">
      <c r="A144" s="6" t="s">
        <v>181</v>
      </c>
    </row>
    <row r="145" spans="1:1" ht="13" x14ac:dyDescent="0.15">
      <c r="A145" s="6" t="s">
        <v>182</v>
      </c>
    </row>
    <row r="147" spans="1:1" ht="13" x14ac:dyDescent="0.15">
      <c r="A147" s="6" t="s">
        <v>183</v>
      </c>
    </row>
    <row r="148" spans="1:1" ht="13" x14ac:dyDescent="0.15">
      <c r="A148" s="6" t="s">
        <v>116</v>
      </c>
    </row>
    <row r="149" spans="1:1" ht="13" x14ac:dyDescent="0.15">
      <c r="A149" s="6" t="s">
        <v>184</v>
      </c>
    </row>
    <row r="150" spans="1:1" ht="13" x14ac:dyDescent="0.15">
      <c r="A150" s="6" t="s">
        <v>142</v>
      </c>
    </row>
    <row r="151" spans="1:1" ht="13" x14ac:dyDescent="0.15">
      <c r="A151" s="6" t="s">
        <v>138</v>
      </c>
    </row>
    <row r="153" spans="1:1" ht="13" x14ac:dyDescent="0.15">
      <c r="A153" s="6" t="s">
        <v>185</v>
      </c>
    </row>
    <row r="154" spans="1:1" ht="13" x14ac:dyDescent="0.15">
      <c r="A154" s="6" t="s">
        <v>118</v>
      </c>
    </row>
    <row r="155" spans="1:1" ht="13" x14ac:dyDescent="0.15">
      <c r="A155" s="6" t="s">
        <v>186</v>
      </c>
    </row>
    <row r="156" spans="1:1" ht="13" x14ac:dyDescent="0.15">
      <c r="A156" s="6" t="s">
        <v>187</v>
      </c>
    </row>
    <row r="157" spans="1:1" ht="13" x14ac:dyDescent="0.15">
      <c r="A157" s="6" t="s">
        <v>165</v>
      </c>
    </row>
    <row r="159" spans="1:1" ht="13" x14ac:dyDescent="0.15">
      <c r="A159" s="13" t="s">
        <v>188</v>
      </c>
    </row>
    <row r="160" spans="1:1" ht="13" x14ac:dyDescent="0.15">
      <c r="A160" s="6" t="s">
        <v>118</v>
      </c>
    </row>
    <row r="161" spans="1:1" ht="13" x14ac:dyDescent="0.15">
      <c r="A161" s="6" t="s">
        <v>186</v>
      </c>
    </row>
    <row r="162" spans="1:1" ht="13" x14ac:dyDescent="0.15">
      <c r="A162" s="6" t="s">
        <v>189</v>
      </c>
    </row>
    <row r="163" spans="1:1" ht="13" x14ac:dyDescent="0.15">
      <c r="A163" s="6" t="s">
        <v>168</v>
      </c>
    </row>
    <row r="165" spans="1:1" ht="13" x14ac:dyDescent="0.15">
      <c r="A165" s="6" t="s">
        <v>190</v>
      </c>
    </row>
    <row r="166" spans="1:1" ht="13" x14ac:dyDescent="0.15">
      <c r="A166" s="6" t="s">
        <v>122</v>
      </c>
    </row>
    <row r="167" spans="1:1" ht="13" x14ac:dyDescent="0.15">
      <c r="A167" s="6" t="s">
        <v>191</v>
      </c>
    </row>
    <row r="168" spans="1:1" ht="13" x14ac:dyDescent="0.15">
      <c r="A168" s="6" t="s">
        <v>142</v>
      </c>
    </row>
    <row r="169" spans="1:1" ht="13" x14ac:dyDescent="0.15">
      <c r="A169" s="6" t="s">
        <v>176</v>
      </c>
    </row>
    <row r="171" spans="1:1" ht="13" x14ac:dyDescent="0.15">
      <c r="A171" s="6" t="s">
        <v>192</v>
      </c>
    </row>
    <row r="172" spans="1:1" ht="13" x14ac:dyDescent="0.15">
      <c r="A172" s="6" t="s">
        <v>124</v>
      </c>
    </row>
    <row r="173" spans="1:1" ht="13" x14ac:dyDescent="0.15">
      <c r="A173" s="6" t="s">
        <v>193</v>
      </c>
    </row>
    <row r="174" spans="1:1" ht="13" x14ac:dyDescent="0.15">
      <c r="A174" s="6" t="s">
        <v>142</v>
      </c>
    </row>
    <row r="175" spans="1:1" ht="13" x14ac:dyDescent="0.15">
      <c r="A175" s="6" t="s">
        <v>165</v>
      </c>
    </row>
    <row r="177" spans="1:1" ht="13" x14ac:dyDescent="0.15">
      <c r="A177" s="6" t="s">
        <v>193</v>
      </c>
    </row>
    <row r="178" spans="1:1" ht="13" x14ac:dyDescent="0.15">
      <c r="A178" s="6" t="s">
        <v>194</v>
      </c>
    </row>
    <row r="179" spans="1:1" ht="13" x14ac:dyDescent="0.15">
      <c r="A179" s="6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 x14ac:dyDescent="0.15"/>
  <cols>
    <col min="3" max="3" width="23.6640625" customWidth="1"/>
    <col min="4" max="4" width="13.1640625" customWidth="1"/>
    <col min="5" max="5" width="24.33203125" customWidth="1"/>
    <col min="6" max="6" width="14.1640625" customWidth="1"/>
    <col min="7" max="7" width="36.83203125" customWidth="1"/>
    <col min="8" max="8" width="16.1640625" customWidth="1"/>
    <col min="9" max="9" width="13" customWidth="1"/>
    <col min="10" max="10" width="24.1640625" customWidth="1"/>
    <col min="12" max="12" width="34.1640625" customWidth="1"/>
    <col min="13" max="13" width="60.5" customWidth="1"/>
    <col min="14" max="14" width="21" customWidth="1"/>
    <col min="15" max="15" width="19.6640625" customWidth="1"/>
    <col min="16" max="16" width="28" customWidth="1"/>
  </cols>
  <sheetData>
    <row r="1" spans="1:1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15" t="s">
        <v>8</v>
      </c>
      <c r="J1" s="15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5.75" customHeight="1" x14ac:dyDescent="0.15">
      <c r="A2" s="6" t="s">
        <v>195</v>
      </c>
      <c r="B2" s="7" t="s">
        <v>196</v>
      </c>
      <c r="C2" s="7" t="s">
        <v>197</v>
      </c>
      <c r="D2" s="8">
        <v>909</v>
      </c>
      <c r="E2" s="7" t="s">
        <v>198</v>
      </c>
      <c r="F2" s="8">
        <v>1003</v>
      </c>
      <c r="G2" s="10" t="s">
        <v>199</v>
      </c>
      <c r="H2" s="9" t="s">
        <v>200</v>
      </c>
      <c r="I2" s="16">
        <v>60</v>
      </c>
      <c r="J2" s="16">
        <v>95</v>
      </c>
      <c r="K2" s="9">
        <v>55</v>
      </c>
      <c r="L2" s="11" t="s">
        <v>201</v>
      </c>
      <c r="M2" s="17" t="s">
        <v>202</v>
      </c>
      <c r="N2" s="11" t="s">
        <v>203</v>
      </c>
      <c r="O2" s="7" t="s">
        <v>204</v>
      </c>
      <c r="P2" s="7" t="s">
        <v>205</v>
      </c>
    </row>
    <row r="3" spans="1:16" ht="15.75" customHeight="1" x14ac:dyDescent="0.15">
      <c r="A3" s="6" t="s">
        <v>195</v>
      </c>
      <c r="B3" s="7" t="s">
        <v>206</v>
      </c>
      <c r="C3" s="7" t="s">
        <v>207</v>
      </c>
      <c r="D3" s="8">
        <v>150</v>
      </c>
      <c r="E3" s="7" t="s">
        <v>208</v>
      </c>
      <c r="F3" s="8">
        <v>231</v>
      </c>
      <c r="G3" s="10" t="s">
        <v>209</v>
      </c>
      <c r="H3" s="9" t="s">
        <v>210</v>
      </c>
      <c r="I3" s="16">
        <v>60</v>
      </c>
      <c r="J3" s="16">
        <v>82</v>
      </c>
      <c r="K3" s="9" t="s">
        <v>211</v>
      </c>
      <c r="L3" s="11" t="s">
        <v>212</v>
      </c>
      <c r="M3" s="10" t="s">
        <v>213</v>
      </c>
      <c r="N3" s="7" t="s">
        <v>214</v>
      </c>
      <c r="O3" s="18" t="s">
        <v>215</v>
      </c>
      <c r="P3" s="7" t="s">
        <v>216</v>
      </c>
    </row>
    <row r="4" spans="1:16" ht="15.75" customHeight="1" x14ac:dyDescent="0.15">
      <c r="A4" s="6" t="s">
        <v>195</v>
      </c>
      <c r="B4" s="7" t="s">
        <v>217</v>
      </c>
      <c r="C4" s="7" t="s">
        <v>218</v>
      </c>
      <c r="D4" s="8">
        <v>834</v>
      </c>
      <c r="E4" s="7" t="s">
        <v>219</v>
      </c>
      <c r="F4" s="8">
        <v>928</v>
      </c>
      <c r="G4" s="10" t="s">
        <v>220</v>
      </c>
      <c r="H4" s="9" t="s">
        <v>221</v>
      </c>
      <c r="I4" s="16">
        <v>60.2</v>
      </c>
      <c r="J4" s="16">
        <v>95</v>
      </c>
      <c r="K4" s="9">
        <v>55</v>
      </c>
      <c r="L4" s="7" t="s">
        <v>222</v>
      </c>
      <c r="M4" s="17" t="s">
        <v>223</v>
      </c>
      <c r="N4" s="11" t="s">
        <v>203</v>
      </c>
      <c r="O4" s="18" t="s">
        <v>224</v>
      </c>
      <c r="P4" s="7" t="s">
        <v>225</v>
      </c>
    </row>
    <row r="5" spans="1:16" ht="15.75" customHeight="1" x14ac:dyDescent="0.15">
      <c r="A5" s="6" t="s">
        <v>195</v>
      </c>
      <c r="B5" s="7" t="s">
        <v>226</v>
      </c>
      <c r="C5" s="7" t="s">
        <v>227</v>
      </c>
      <c r="D5" s="8">
        <v>328</v>
      </c>
      <c r="E5" s="7" t="s">
        <v>228</v>
      </c>
      <c r="F5" s="8">
        <v>435</v>
      </c>
      <c r="G5" s="10" t="s">
        <v>229</v>
      </c>
      <c r="H5" s="9" t="s">
        <v>230</v>
      </c>
      <c r="I5" s="16">
        <v>59.9</v>
      </c>
      <c r="J5" s="16">
        <v>108</v>
      </c>
      <c r="K5" s="9">
        <v>50</v>
      </c>
      <c r="L5" s="19" t="s">
        <v>231</v>
      </c>
      <c r="M5" s="20" t="s">
        <v>232</v>
      </c>
      <c r="N5" s="19" t="s">
        <v>233</v>
      </c>
      <c r="O5" s="21" t="s">
        <v>234</v>
      </c>
      <c r="P5" s="7" t="s">
        <v>235</v>
      </c>
    </row>
    <row r="6" spans="1:16" ht="15.75" customHeight="1" x14ac:dyDescent="0.15">
      <c r="A6" s="6" t="s">
        <v>195</v>
      </c>
      <c r="B6" s="7" t="s">
        <v>236</v>
      </c>
      <c r="C6" s="7" t="s">
        <v>237</v>
      </c>
      <c r="D6" s="8">
        <v>469</v>
      </c>
      <c r="E6" s="7" t="s">
        <v>238</v>
      </c>
      <c r="F6" s="22">
        <v>564</v>
      </c>
      <c r="G6" s="20" t="s">
        <v>239</v>
      </c>
      <c r="H6" s="16" t="s">
        <v>240</v>
      </c>
      <c r="I6" s="16">
        <v>60.3</v>
      </c>
      <c r="J6" s="16">
        <v>96</v>
      </c>
      <c r="K6" s="16">
        <v>55</v>
      </c>
      <c r="L6" s="21" t="s">
        <v>212</v>
      </c>
      <c r="M6" s="20" t="s">
        <v>241</v>
      </c>
      <c r="N6" s="21" t="s">
        <v>25</v>
      </c>
      <c r="O6" s="23" t="s">
        <v>242</v>
      </c>
      <c r="P6" s="7" t="s">
        <v>243</v>
      </c>
    </row>
    <row r="7" spans="1:16" ht="15.75" customHeight="1" x14ac:dyDescent="0.15">
      <c r="A7" s="6" t="s">
        <v>195</v>
      </c>
      <c r="B7" s="7" t="s">
        <v>244</v>
      </c>
      <c r="C7" s="7" t="s">
        <v>245</v>
      </c>
      <c r="D7" s="8">
        <v>416</v>
      </c>
      <c r="E7" s="7" t="s">
        <v>246</v>
      </c>
      <c r="F7" s="22">
        <v>528</v>
      </c>
      <c r="G7" s="20" t="s">
        <v>247</v>
      </c>
      <c r="H7" s="16" t="s">
        <v>248</v>
      </c>
      <c r="I7" s="16">
        <v>59.8</v>
      </c>
      <c r="J7" s="16">
        <v>113</v>
      </c>
      <c r="K7" s="16">
        <v>50</v>
      </c>
      <c r="L7" s="21" t="s">
        <v>212</v>
      </c>
      <c r="M7" s="20" t="s">
        <v>249</v>
      </c>
      <c r="N7" s="19" t="s">
        <v>250</v>
      </c>
      <c r="O7" s="24" t="s">
        <v>251</v>
      </c>
      <c r="P7" s="7" t="s">
        <v>252</v>
      </c>
    </row>
    <row r="8" spans="1:16" ht="15.75" customHeight="1" x14ac:dyDescent="0.15">
      <c r="B8" s="7" t="s">
        <v>253</v>
      </c>
      <c r="C8" s="7" t="s">
        <v>254</v>
      </c>
      <c r="D8" s="8">
        <v>432</v>
      </c>
      <c r="E8" s="7" t="s">
        <v>255</v>
      </c>
      <c r="F8" s="22">
        <v>535</v>
      </c>
      <c r="G8" s="19"/>
      <c r="H8" s="19" t="s">
        <v>256</v>
      </c>
      <c r="I8" s="16" t="s">
        <v>40</v>
      </c>
      <c r="J8" s="16">
        <v>104</v>
      </c>
      <c r="K8" s="16">
        <v>55</v>
      </c>
      <c r="L8" s="19"/>
      <c r="M8" s="19"/>
      <c r="N8" s="19"/>
      <c r="O8" s="19"/>
      <c r="P8" s="7" t="s">
        <v>257</v>
      </c>
    </row>
    <row r="9" spans="1:16" ht="15.75" customHeight="1" x14ac:dyDescent="0.15">
      <c r="A9" s="25"/>
      <c r="B9" s="19" t="s">
        <v>258</v>
      </c>
      <c r="C9" s="7" t="s">
        <v>259</v>
      </c>
      <c r="D9" s="8">
        <v>948</v>
      </c>
      <c r="E9" s="7" t="s">
        <v>260</v>
      </c>
      <c r="F9" s="22">
        <v>1036</v>
      </c>
      <c r="G9" s="19"/>
      <c r="H9" s="19" t="s">
        <v>261</v>
      </c>
      <c r="I9" s="16" t="s">
        <v>40</v>
      </c>
      <c r="J9" s="16">
        <v>89</v>
      </c>
      <c r="K9" s="16" t="s">
        <v>262</v>
      </c>
      <c r="L9" s="19"/>
      <c r="M9" s="19"/>
      <c r="N9" s="19"/>
      <c r="O9" s="19"/>
      <c r="P9" s="7" t="s">
        <v>263</v>
      </c>
    </row>
    <row r="10" spans="1:16" ht="15.75" customHeight="1" x14ac:dyDescent="0.15">
      <c r="B10" s="6" t="s">
        <v>264</v>
      </c>
      <c r="C10" s="6" t="s">
        <v>265</v>
      </c>
      <c r="D10" s="6">
        <v>331</v>
      </c>
      <c r="E10" s="6" t="s">
        <v>266</v>
      </c>
      <c r="F10" s="6">
        <v>442</v>
      </c>
      <c r="H10" s="6" t="s">
        <v>267</v>
      </c>
      <c r="I10" s="6">
        <v>59.8</v>
      </c>
      <c r="J10" s="6">
        <v>112</v>
      </c>
      <c r="K10" s="6" t="s">
        <v>268</v>
      </c>
      <c r="P10" s="6" t="s">
        <v>269</v>
      </c>
    </row>
    <row r="13" spans="1:16" ht="15.75" customHeight="1" x14ac:dyDescent="0.15">
      <c r="A13" s="6" t="s">
        <v>74</v>
      </c>
    </row>
    <row r="14" spans="1:16" ht="15.75" customHeight="1" x14ac:dyDescent="0.15">
      <c r="A14" s="6" t="s">
        <v>75</v>
      </c>
    </row>
    <row r="15" spans="1:16" ht="15.75" customHeight="1" x14ac:dyDescent="0.15">
      <c r="A15" s="6" t="s">
        <v>270</v>
      </c>
    </row>
    <row r="17" spans="1:13" ht="15.75" customHeight="1" x14ac:dyDescent="0.15">
      <c r="A17" s="6" t="s">
        <v>77</v>
      </c>
    </row>
    <row r="18" spans="1:13" ht="15.75" customHeight="1" x14ac:dyDescent="0.15">
      <c r="A18" s="6" t="s">
        <v>78</v>
      </c>
    </row>
    <row r="19" spans="1:13" ht="15.75" customHeight="1" x14ac:dyDescent="0.15">
      <c r="A19" s="6" t="s">
        <v>271</v>
      </c>
    </row>
    <row r="20" spans="1:13" ht="15.75" customHeight="1" x14ac:dyDescent="0.15">
      <c r="A20" s="6" t="s">
        <v>272</v>
      </c>
      <c r="M20" s="26"/>
    </row>
    <row r="21" spans="1:13" ht="15.75" customHeight="1" x14ac:dyDescent="0.15">
      <c r="A21" s="6" t="s">
        <v>273</v>
      </c>
    </row>
    <row r="22" spans="1:13" ht="15.75" customHeight="1" x14ac:dyDescent="0.15">
      <c r="A22" s="6" t="s">
        <v>274</v>
      </c>
    </row>
    <row r="23" spans="1:13" ht="15.75" customHeight="1" x14ac:dyDescent="0.15">
      <c r="A23" s="6" t="s">
        <v>275</v>
      </c>
    </row>
    <row r="24" spans="1:13" ht="15.75" customHeight="1" x14ac:dyDescent="0.15">
      <c r="A24" s="6" t="s">
        <v>276</v>
      </c>
    </row>
    <row r="25" spans="1:13" ht="15.75" customHeight="1" x14ac:dyDescent="0.15">
      <c r="A25" s="6" t="s">
        <v>277</v>
      </c>
    </row>
    <row r="27" spans="1:13" ht="15.75" customHeight="1" x14ac:dyDescent="0.15">
      <c r="A27" s="12" t="s">
        <v>84</v>
      </c>
    </row>
    <row r="28" spans="1:13" ht="15.75" customHeight="1" x14ac:dyDescent="0.15">
      <c r="A28" s="6" t="s">
        <v>85</v>
      </c>
      <c r="B28" s="6" t="s">
        <v>86</v>
      </c>
      <c r="C28" s="6" t="s">
        <v>87</v>
      </c>
      <c r="D28" s="6" t="s">
        <v>88</v>
      </c>
      <c r="E28" s="6" t="s">
        <v>89</v>
      </c>
      <c r="F28" s="6" t="s">
        <v>90</v>
      </c>
      <c r="G28" s="6" t="s">
        <v>91</v>
      </c>
      <c r="H28" s="6" t="s">
        <v>92</v>
      </c>
      <c r="I28" s="6" t="s">
        <v>93</v>
      </c>
      <c r="J28" s="6" t="s">
        <v>94</v>
      </c>
      <c r="K28" s="6" t="s">
        <v>95</v>
      </c>
      <c r="L28" s="6" t="s">
        <v>96</v>
      </c>
      <c r="M28" s="6" t="s">
        <v>97</v>
      </c>
    </row>
    <row r="29" spans="1:13" ht="15.75" customHeight="1" x14ac:dyDescent="0.15">
      <c r="A29" s="6" t="s">
        <v>98</v>
      </c>
      <c r="B29" s="6" t="s">
        <v>278</v>
      </c>
      <c r="C29" s="6">
        <v>67.099999999999994</v>
      </c>
      <c r="D29" s="6">
        <v>55</v>
      </c>
      <c r="E29" s="6">
        <v>20</v>
      </c>
      <c r="F29" s="6">
        <v>7</v>
      </c>
      <c r="G29" s="6">
        <v>2</v>
      </c>
      <c r="H29" s="6">
        <v>8</v>
      </c>
      <c r="I29" s="6">
        <v>3</v>
      </c>
      <c r="J29" s="6">
        <v>190400</v>
      </c>
      <c r="K29" s="6">
        <v>6040</v>
      </c>
      <c r="L29" s="6">
        <v>5.3</v>
      </c>
      <c r="M29" s="6">
        <v>31.7</v>
      </c>
    </row>
    <row r="30" spans="1:13" ht="15.75" customHeight="1" x14ac:dyDescent="0.15">
      <c r="A30" s="6" t="s">
        <v>100</v>
      </c>
      <c r="B30" s="6" t="s">
        <v>279</v>
      </c>
      <c r="C30" s="6">
        <v>64.5</v>
      </c>
      <c r="D30" s="6">
        <v>55</v>
      </c>
      <c r="E30" s="6">
        <v>20</v>
      </c>
      <c r="F30" s="6">
        <v>4</v>
      </c>
      <c r="G30" s="6">
        <v>5</v>
      </c>
      <c r="H30" s="6">
        <v>8</v>
      </c>
      <c r="I30" s="6">
        <v>3</v>
      </c>
      <c r="J30" s="6">
        <v>178200</v>
      </c>
      <c r="K30" s="6">
        <v>6013</v>
      </c>
      <c r="L30" s="6">
        <v>5.6</v>
      </c>
      <c r="M30" s="6">
        <v>33.700000000000003</v>
      </c>
    </row>
    <row r="31" spans="1:13" ht="15.75" customHeight="1" x14ac:dyDescent="0.15">
      <c r="A31" s="6" t="s">
        <v>106</v>
      </c>
      <c r="B31" s="6" t="s">
        <v>280</v>
      </c>
      <c r="C31" s="6">
        <v>65.900000000000006</v>
      </c>
      <c r="D31" s="6">
        <v>55</v>
      </c>
      <c r="E31" s="6">
        <v>20</v>
      </c>
      <c r="F31" s="6">
        <v>4</v>
      </c>
      <c r="G31" s="6">
        <v>5</v>
      </c>
      <c r="H31" s="6">
        <v>7</v>
      </c>
      <c r="I31" s="6">
        <v>4</v>
      </c>
      <c r="J31" s="6">
        <v>186100</v>
      </c>
      <c r="K31" s="6">
        <v>6053</v>
      </c>
      <c r="L31" s="6">
        <v>5.4</v>
      </c>
      <c r="M31" s="6">
        <v>32.5</v>
      </c>
    </row>
    <row r="32" spans="1:13" ht="15.75" customHeight="1" x14ac:dyDescent="0.15">
      <c r="A32" s="6" t="s">
        <v>108</v>
      </c>
      <c r="B32" s="6" t="s">
        <v>281</v>
      </c>
      <c r="C32" s="6">
        <v>66.5</v>
      </c>
      <c r="D32" s="6">
        <v>50</v>
      </c>
      <c r="E32" s="6">
        <v>20</v>
      </c>
      <c r="F32" s="6">
        <v>8</v>
      </c>
      <c r="G32" s="6">
        <v>2</v>
      </c>
      <c r="H32" s="6">
        <v>4</v>
      </c>
      <c r="I32" s="6">
        <v>6</v>
      </c>
      <c r="J32" s="6">
        <v>209800</v>
      </c>
      <c r="K32" s="6">
        <v>6184.1</v>
      </c>
      <c r="L32" s="6">
        <v>4.8</v>
      </c>
      <c r="M32" s="6">
        <v>29.5</v>
      </c>
    </row>
    <row r="33" spans="1:13" ht="15.75" customHeight="1" x14ac:dyDescent="0.15">
      <c r="A33" s="6" t="s">
        <v>114</v>
      </c>
      <c r="B33" s="6" t="s">
        <v>282</v>
      </c>
      <c r="C33" s="6">
        <v>64.5</v>
      </c>
      <c r="D33" s="6">
        <v>55</v>
      </c>
      <c r="E33" s="6">
        <v>20</v>
      </c>
      <c r="F33" s="6">
        <v>5</v>
      </c>
      <c r="G33" s="6">
        <v>4</v>
      </c>
      <c r="H33" s="6">
        <v>3</v>
      </c>
      <c r="I33" s="6">
        <v>8</v>
      </c>
      <c r="J33" s="6">
        <v>202000</v>
      </c>
      <c r="K33" s="6">
        <v>6222.1</v>
      </c>
      <c r="L33" s="6">
        <v>5</v>
      </c>
      <c r="M33" s="6">
        <v>30.8</v>
      </c>
    </row>
    <row r="34" spans="1:13" ht="15.75" customHeight="1" x14ac:dyDescent="0.15">
      <c r="A34" s="6" t="s">
        <v>116</v>
      </c>
      <c r="B34" s="6" t="s">
        <v>283</v>
      </c>
      <c r="C34" s="6">
        <v>67.099999999999994</v>
      </c>
      <c r="D34" s="6">
        <v>55</v>
      </c>
      <c r="E34" s="6">
        <v>20</v>
      </c>
      <c r="F34" s="6">
        <v>6</v>
      </c>
      <c r="G34" s="6">
        <v>3</v>
      </c>
      <c r="H34" s="6">
        <v>6</v>
      </c>
      <c r="I34" s="6">
        <v>5</v>
      </c>
      <c r="J34" s="6">
        <v>192700</v>
      </c>
      <c r="K34" s="6">
        <v>6111</v>
      </c>
      <c r="L34" s="6">
        <v>5.2</v>
      </c>
      <c r="M34" s="6">
        <v>31.7</v>
      </c>
    </row>
    <row r="35" spans="1:13" ht="15.75" customHeight="1" x14ac:dyDescent="0.15">
      <c r="A35" s="6" t="s">
        <v>122</v>
      </c>
      <c r="B35" s="6" t="s">
        <v>284</v>
      </c>
      <c r="C35" s="6">
        <v>67.2</v>
      </c>
      <c r="D35" s="6">
        <v>50</v>
      </c>
      <c r="E35" s="6">
        <v>20</v>
      </c>
      <c r="F35" s="6">
        <v>4</v>
      </c>
      <c r="G35" s="6">
        <v>6</v>
      </c>
      <c r="H35" s="6">
        <v>2</v>
      </c>
      <c r="I35" s="6">
        <v>8</v>
      </c>
      <c r="J35" s="6">
        <v>198100</v>
      </c>
      <c r="K35" s="6">
        <v>6228.1</v>
      </c>
      <c r="L35" s="6">
        <v>5</v>
      </c>
      <c r="M35" s="6">
        <v>31.4</v>
      </c>
    </row>
    <row r="36" spans="1:13" ht="15.75" customHeight="1" x14ac:dyDescent="0.15">
      <c r="A36" s="6" t="s">
        <v>124</v>
      </c>
      <c r="B36" s="6" t="s">
        <v>285</v>
      </c>
      <c r="C36" s="6">
        <v>66.3</v>
      </c>
      <c r="D36" s="6">
        <v>50</v>
      </c>
      <c r="E36" s="6">
        <v>20</v>
      </c>
      <c r="F36" s="6">
        <v>2</v>
      </c>
      <c r="G36" s="6">
        <v>8</v>
      </c>
      <c r="H36" s="6">
        <v>3</v>
      </c>
      <c r="I36" s="6">
        <v>7</v>
      </c>
      <c r="J36" s="6">
        <v>185500</v>
      </c>
      <c r="K36" s="6">
        <v>6170.1</v>
      </c>
      <c r="L36" s="6">
        <v>5.4</v>
      </c>
      <c r="M36" s="6">
        <v>33.299999999999997</v>
      </c>
    </row>
    <row r="37" spans="1:13" ht="15.75" customHeight="1" x14ac:dyDescent="0.15">
      <c r="A37" s="6" t="s">
        <v>286</v>
      </c>
      <c r="B37" s="6" t="s">
        <v>287</v>
      </c>
      <c r="C37" s="6">
        <v>63.4</v>
      </c>
      <c r="D37" s="6">
        <v>55</v>
      </c>
      <c r="E37" s="6">
        <v>20</v>
      </c>
      <c r="F37" s="6">
        <v>3</v>
      </c>
      <c r="G37" s="6">
        <v>6</v>
      </c>
      <c r="H37" s="6">
        <v>7</v>
      </c>
      <c r="I37" s="6">
        <v>4</v>
      </c>
      <c r="J37" s="6">
        <v>177800</v>
      </c>
      <c r="K37" s="6">
        <v>6044</v>
      </c>
      <c r="L37" s="6">
        <v>5.6</v>
      </c>
      <c r="M37" s="6">
        <v>34</v>
      </c>
    </row>
    <row r="38" spans="1:13" ht="15.75" customHeight="1" x14ac:dyDescent="0.15">
      <c r="A38" s="6" t="s">
        <v>288</v>
      </c>
      <c r="B38" s="6" t="s">
        <v>289</v>
      </c>
      <c r="C38" s="6">
        <v>68.7</v>
      </c>
      <c r="D38" s="6">
        <v>55</v>
      </c>
      <c r="E38" s="6">
        <v>20</v>
      </c>
      <c r="F38" s="6">
        <v>3</v>
      </c>
      <c r="G38" s="6">
        <v>6</v>
      </c>
      <c r="H38" s="6">
        <v>4</v>
      </c>
      <c r="I38" s="6">
        <v>7</v>
      </c>
      <c r="J38" s="6">
        <v>189200</v>
      </c>
      <c r="K38" s="6">
        <v>6164.1</v>
      </c>
      <c r="L38" s="6">
        <v>5.3</v>
      </c>
      <c r="M38" s="6">
        <v>32.6</v>
      </c>
    </row>
    <row r="39" spans="1:13" ht="15.75" customHeight="1" x14ac:dyDescent="0.15">
      <c r="A39" s="6" t="s">
        <v>290</v>
      </c>
      <c r="B39" s="6" t="s">
        <v>291</v>
      </c>
      <c r="C39" s="6">
        <v>65.400000000000006</v>
      </c>
      <c r="D39" s="6">
        <v>50</v>
      </c>
      <c r="E39" s="6">
        <v>20</v>
      </c>
      <c r="F39" s="6">
        <v>9</v>
      </c>
      <c r="G39" s="6">
        <v>1</v>
      </c>
      <c r="H39" s="6">
        <v>7</v>
      </c>
      <c r="I39" s="6">
        <v>3</v>
      </c>
      <c r="J39" s="6">
        <v>200600</v>
      </c>
      <c r="K39" s="6">
        <v>6073</v>
      </c>
      <c r="L39" s="6">
        <v>5</v>
      </c>
      <c r="M39" s="6">
        <v>30.3</v>
      </c>
    </row>
    <row r="40" spans="1:13" ht="15.75" customHeight="1" x14ac:dyDescent="0.15">
      <c r="A40" s="6" t="s">
        <v>292</v>
      </c>
      <c r="B40" s="6" t="s">
        <v>293</v>
      </c>
      <c r="C40" s="6">
        <v>67.2</v>
      </c>
      <c r="D40" s="6">
        <v>50</v>
      </c>
      <c r="E40" s="6">
        <v>20</v>
      </c>
      <c r="F40" s="6">
        <v>6</v>
      </c>
      <c r="G40" s="6">
        <v>4</v>
      </c>
      <c r="H40" s="6">
        <v>8</v>
      </c>
      <c r="I40" s="6">
        <v>2</v>
      </c>
      <c r="J40" s="6">
        <v>185300</v>
      </c>
      <c r="K40" s="6">
        <v>6006</v>
      </c>
      <c r="L40" s="6">
        <v>5.4</v>
      </c>
      <c r="M40" s="6">
        <v>32.4</v>
      </c>
    </row>
    <row r="41" spans="1:13" ht="15.75" customHeight="1" x14ac:dyDescent="0.15">
      <c r="A41" s="6" t="s">
        <v>130</v>
      </c>
      <c r="B41" s="6" t="s">
        <v>131</v>
      </c>
      <c r="C41" s="6">
        <v>64.400000000000006</v>
      </c>
      <c r="D41" s="6">
        <v>55</v>
      </c>
      <c r="E41" s="6">
        <v>20</v>
      </c>
      <c r="F41" s="6">
        <v>3</v>
      </c>
      <c r="G41" s="6">
        <v>6</v>
      </c>
      <c r="H41" s="6">
        <v>6</v>
      </c>
      <c r="I41" s="6">
        <v>5</v>
      </c>
      <c r="J41" s="6">
        <v>182600</v>
      </c>
      <c r="K41" s="6">
        <v>6084</v>
      </c>
      <c r="L41" s="6">
        <v>5.5</v>
      </c>
      <c r="M41" s="6">
        <v>33.299999999999997</v>
      </c>
    </row>
    <row r="42" spans="1:13" ht="15.75" customHeight="1" x14ac:dyDescent="0.15">
      <c r="A42" s="6" t="s">
        <v>294</v>
      </c>
      <c r="B42" s="6" t="s">
        <v>133</v>
      </c>
      <c r="C42" s="6">
        <v>65.900000000000006</v>
      </c>
      <c r="D42" s="6">
        <v>52.6</v>
      </c>
      <c r="E42" s="6">
        <v>19</v>
      </c>
      <c r="F42" s="6">
        <v>4</v>
      </c>
      <c r="G42" s="6">
        <v>5</v>
      </c>
      <c r="H42" s="6">
        <v>7</v>
      </c>
      <c r="I42" s="6">
        <v>3</v>
      </c>
      <c r="J42" s="6">
        <v>173400</v>
      </c>
      <c r="K42" s="6">
        <v>5723.8</v>
      </c>
      <c r="L42" s="6">
        <v>5.8</v>
      </c>
      <c r="M42" s="6">
        <v>33</v>
      </c>
    </row>
    <row r="45" spans="1:13" ht="13" x14ac:dyDescent="0.15">
      <c r="A45" s="6" t="s">
        <v>134</v>
      </c>
    </row>
    <row r="48" spans="1:13" ht="13" x14ac:dyDescent="0.15">
      <c r="A48" s="6" t="s">
        <v>139</v>
      </c>
    </row>
    <row r="50" spans="1:1" ht="13" x14ac:dyDescent="0.15">
      <c r="A50" s="6" t="s">
        <v>295</v>
      </c>
    </row>
    <row r="51" spans="1:1" ht="13" x14ac:dyDescent="0.15">
      <c r="A51" s="6" t="s">
        <v>98</v>
      </c>
    </row>
    <row r="52" spans="1:1" ht="13" x14ac:dyDescent="0.15">
      <c r="A52" s="6" t="s">
        <v>296</v>
      </c>
    </row>
    <row r="53" spans="1:1" ht="13" x14ac:dyDescent="0.15">
      <c r="A53" s="6" t="s">
        <v>297</v>
      </c>
    </row>
    <row r="54" spans="1:1" ht="13" x14ac:dyDescent="0.15">
      <c r="A54" s="6" t="s">
        <v>298</v>
      </c>
    </row>
    <row r="56" spans="1:1" ht="13" x14ac:dyDescent="0.15">
      <c r="A56" s="6" t="s">
        <v>299</v>
      </c>
    </row>
    <row r="57" spans="1:1" ht="13" x14ac:dyDescent="0.15">
      <c r="A57" s="6" t="s">
        <v>100</v>
      </c>
    </row>
    <row r="58" spans="1:1" ht="13" x14ac:dyDescent="0.15">
      <c r="A58" s="6" t="s">
        <v>300</v>
      </c>
    </row>
    <row r="59" spans="1:1" ht="13" x14ac:dyDescent="0.15">
      <c r="A59" s="6" t="s">
        <v>142</v>
      </c>
    </row>
    <row r="60" spans="1:1" ht="13" x14ac:dyDescent="0.15">
      <c r="A60" s="6" t="s">
        <v>301</v>
      </c>
    </row>
    <row r="62" spans="1:1" ht="13" x14ac:dyDescent="0.15">
      <c r="A62" s="6" t="s">
        <v>302</v>
      </c>
    </row>
    <row r="63" spans="1:1" ht="13" x14ac:dyDescent="0.15">
      <c r="A63" s="6" t="s">
        <v>100</v>
      </c>
    </row>
    <row r="64" spans="1:1" ht="13" x14ac:dyDescent="0.15">
      <c r="A64" s="6" t="s">
        <v>300</v>
      </c>
    </row>
    <row r="65" spans="1:1" ht="13" x14ac:dyDescent="0.15">
      <c r="A65" s="6" t="s">
        <v>167</v>
      </c>
    </row>
    <row r="66" spans="1:1" ht="13" x14ac:dyDescent="0.15">
      <c r="A66" s="6" t="s">
        <v>298</v>
      </c>
    </row>
    <row r="68" spans="1:1" ht="13" x14ac:dyDescent="0.15">
      <c r="A68" s="6" t="s">
        <v>303</v>
      </c>
    </row>
    <row r="69" spans="1:1" ht="13" x14ac:dyDescent="0.15">
      <c r="A69" s="6" t="s">
        <v>114</v>
      </c>
    </row>
    <row r="70" spans="1:1" ht="13" x14ac:dyDescent="0.15">
      <c r="A70" s="6" t="s">
        <v>304</v>
      </c>
    </row>
    <row r="71" spans="1:1" ht="13" x14ac:dyDescent="0.15">
      <c r="A71" s="6" t="s">
        <v>194</v>
      </c>
    </row>
    <row r="72" spans="1:1" ht="13" x14ac:dyDescent="0.15">
      <c r="A72" s="6" t="s">
        <v>145</v>
      </c>
    </row>
    <row r="74" spans="1:1" ht="13" x14ac:dyDescent="0.15">
      <c r="A74" s="6" t="s">
        <v>305</v>
      </c>
    </row>
    <row r="75" spans="1:1" ht="13" x14ac:dyDescent="0.15">
      <c r="A75" s="6" t="s">
        <v>122</v>
      </c>
    </row>
    <row r="76" spans="1:1" ht="13" x14ac:dyDescent="0.15">
      <c r="A76" s="6" t="s">
        <v>306</v>
      </c>
    </row>
    <row r="77" spans="1:1" ht="13" x14ac:dyDescent="0.15">
      <c r="A77" s="6" t="s">
        <v>142</v>
      </c>
    </row>
    <row r="78" spans="1:1" ht="13" x14ac:dyDescent="0.15">
      <c r="A78" s="6" t="s">
        <v>307</v>
      </c>
    </row>
    <row r="80" spans="1:1" ht="13" x14ac:dyDescent="0.15">
      <c r="A80" s="6" t="s">
        <v>308</v>
      </c>
    </row>
    <row r="81" spans="1:1" ht="13" x14ac:dyDescent="0.15">
      <c r="A81" s="6" t="s">
        <v>124</v>
      </c>
    </row>
    <row r="82" spans="1:1" ht="13" x14ac:dyDescent="0.15">
      <c r="A82" s="6" t="s">
        <v>309</v>
      </c>
    </row>
    <row r="83" spans="1:1" ht="13" x14ac:dyDescent="0.15">
      <c r="A83" s="6" t="s">
        <v>310</v>
      </c>
    </row>
    <row r="84" spans="1:1" ht="13" x14ac:dyDescent="0.15">
      <c r="A84" s="6" t="s">
        <v>311</v>
      </c>
    </row>
    <row r="86" spans="1:1" ht="13" x14ac:dyDescent="0.15">
      <c r="A86" s="6" t="s">
        <v>312</v>
      </c>
    </row>
    <row r="87" spans="1:1" ht="13" x14ac:dyDescent="0.15">
      <c r="A87" s="6" t="s">
        <v>124</v>
      </c>
    </row>
    <row r="88" spans="1:1" ht="13" x14ac:dyDescent="0.15">
      <c r="A88" s="6" t="s">
        <v>309</v>
      </c>
    </row>
    <row r="89" spans="1:1" ht="13" x14ac:dyDescent="0.15">
      <c r="A89" s="6" t="s">
        <v>313</v>
      </c>
    </row>
    <row r="90" spans="1:1" ht="13" x14ac:dyDescent="0.15">
      <c r="A90" s="6" t="s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15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2.6640625" defaultRowHeight="15.75" customHeight="1" x14ac:dyDescent="0.15"/>
  <cols>
    <col min="3" max="3" width="24.5" customWidth="1"/>
    <col min="4" max="4" width="13.1640625" customWidth="1"/>
    <col min="5" max="5" width="24.6640625" customWidth="1"/>
    <col min="6" max="6" width="14.1640625" customWidth="1"/>
    <col min="7" max="7" width="38.33203125" customWidth="1"/>
    <col min="8" max="8" width="16.1640625" customWidth="1"/>
    <col min="9" max="9" width="13" customWidth="1"/>
    <col min="12" max="12" width="34.1640625" customWidth="1"/>
    <col min="13" max="13" width="50" customWidth="1"/>
    <col min="14" max="14" width="40.1640625" customWidth="1"/>
    <col min="15" max="15" width="47.1640625" customWidth="1"/>
    <col min="16" max="16" width="28" customWidth="1"/>
  </cols>
  <sheetData>
    <row r="1" spans="1:16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ht="15.75" customHeight="1" x14ac:dyDescent="0.15">
      <c r="A2" s="6" t="s">
        <v>314</v>
      </c>
      <c r="B2" s="7" t="s">
        <v>315</v>
      </c>
      <c r="C2" s="7" t="s">
        <v>316</v>
      </c>
      <c r="D2" s="8">
        <v>550</v>
      </c>
      <c r="E2" s="7" t="s">
        <v>317</v>
      </c>
      <c r="F2" s="8">
        <v>652</v>
      </c>
      <c r="G2" s="10" t="s">
        <v>318</v>
      </c>
      <c r="H2" s="9" t="s">
        <v>319</v>
      </c>
      <c r="I2" s="9">
        <v>60</v>
      </c>
      <c r="J2" s="9">
        <v>103</v>
      </c>
      <c r="K2" s="9">
        <v>55</v>
      </c>
      <c r="L2" s="7" t="s">
        <v>320</v>
      </c>
      <c r="M2" s="7" t="s">
        <v>321</v>
      </c>
      <c r="N2" s="7" t="s">
        <v>322</v>
      </c>
      <c r="O2" s="7" t="str">
        <f t="shared" ref="O2:O8" si="0">LEFT(M2,FIND(" (",M2) - 1)</f>
        <v>2 hits</v>
      </c>
      <c r="P2" s="7" t="s">
        <v>323</v>
      </c>
    </row>
    <row r="3" spans="1:16" ht="15.75" customHeight="1" x14ac:dyDescent="0.15">
      <c r="A3" s="6" t="s">
        <v>314</v>
      </c>
      <c r="B3" s="7" t="s">
        <v>324</v>
      </c>
      <c r="C3" s="7" t="s">
        <v>325</v>
      </c>
      <c r="D3" s="8">
        <v>267</v>
      </c>
      <c r="E3" s="7" t="s">
        <v>326</v>
      </c>
      <c r="F3" s="8">
        <v>347</v>
      </c>
      <c r="G3" s="10" t="s">
        <v>327</v>
      </c>
      <c r="H3" s="9" t="s">
        <v>328</v>
      </c>
      <c r="I3" s="9" t="s">
        <v>329</v>
      </c>
      <c r="J3" s="9">
        <v>81</v>
      </c>
      <c r="K3" s="9" t="s">
        <v>330</v>
      </c>
      <c r="L3" s="27" t="s">
        <v>331</v>
      </c>
      <c r="M3" s="7" t="s">
        <v>332</v>
      </c>
      <c r="N3" s="7" t="s">
        <v>333</v>
      </c>
      <c r="O3" s="7" t="str">
        <f t="shared" si="0"/>
        <v>2 hits</v>
      </c>
      <c r="P3" s="7" t="s">
        <v>334</v>
      </c>
    </row>
    <row r="4" spans="1:16" ht="15.75" customHeight="1" x14ac:dyDescent="0.15">
      <c r="A4" s="6" t="s">
        <v>314</v>
      </c>
      <c r="B4" s="7" t="s">
        <v>335</v>
      </c>
      <c r="C4" s="7" t="s">
        <v>336</v>
      </c>
      <c r="D4" s="8">
        <v>218</v>
      </c>
      <c r="E4" s="7" t="s">
        <v>337</v>
      </c>
      <c r="F4" s="8">
        <v>333</v>
      </c>
      <c r="G4" s="10" t="s">
        <v>338</v>
      </c>
      <c r="H4" s="9" t="s">
        <v>339</v>
      </c>
      <c r="I4" s="9" t="s">
        <v>340</v>
      </c>
      <c r="J4" s="9">
        <v>116</v>
      </c>
      <c r="K4" s="9">
        <v>50</v>
      </c>
      <c r="L4" s="27" t="s">
        <v>341</v>
      </c>
      <c r="M4" s="7" t="s">
        <v>342</v>
      </c>
      <c r="N4" s="7" t="s">
        <v>343</v>
      </c>
      <c r="O4" s="7" t="str">
        <f t="shared" si="0"/>
        <v>2 hits</v>
      </c>
      <c r="P4" s="7" t="s">
        <v>344</v>
      </c>
    </row>
    <row r="5" spans="1:16" ht="15.75" customHeight="1" x14ac:dyDescent="0.15">
      <c r="A5" s="6" t="s">
        <v>314</v>
      </c>
      <c r="B5" s="7" t="s">
        <v>345</v>
      </c>
      <c r="C5" s="7" t="s">
        <v>346</v>
      </c>
      <c r="D5" s="8">
        <v>328</v>
      </c>
      <c r="E5" s="7" t="s">
        <v>347</v>
      </c>
      <c r="F5" s="8">
        <v>436</v>
      </c>
      <c r="G5" s="10" t="s">
        <v>348</v>
      </c>
      <c r="H5" s="9" t="s">
        <v>349</v>
      </c>
      <c r="I5" s="9" t="s">
        <v>350</v>
      </c>
      <c r="J5" s="9">
        <v>109</v>
      </c>
      <c r="K5" s="9">
        <v>55</v>
      </c>
      <c r="L5" s="7" t="s">
        <v>351</v>
      </c>
      <c r="M5" s="7" t="s">
        <v>352</v>
      </c>
      <c r="N5" s="7" t="s">
        <v>353</v>
      </c>
      <c r="O5" s="7" t="str">
        <f t="shared" si="0"/>
        <v>2 hits</v>
      </c>
      <c r="P5" s="7" t="s">
        <v>354</v>
      </c>
    </row>
    <row r="6" spans="1:16" ht="15.75" customHeight="1" x14ac:dyDescent="0.15">
      <c r="A6" s="6" t="s">
        <v>314</v>
      </c>
      <c r="B6" s="7" t="s">
        <v>355</v>
      </c>
      <c r="C6" s="7" t="s">
        <v>356</v>
      </c>
      <c r="D6" s="8">
        <v>472</v>
      </c>
      <c r="E6" s="7" t="s">
        <v>357</v>
      </c>
      <c r="F6" s="8">
        <v>569</v>
      </c>
      <c r="G6" s="20" t="s">
        <v>358</v>
      </c>
      <c r="H6" s="16" t="s">
        <v>359</v>
      </c>
      <c r="I6" s="16" t="s">
        <v>360</v>
      </c>
      <c r="J6" s="16">
        <v>98</v>
      </c>
      <c r="K6" s="16">
        <v>55</v>
      </c>
      <c r="L6" s="19" t="s">
        <v>361</v>
      </c>
      <c r="M6" s="7" t="s">
        <v>362</v>
      </c>
      <c r="N6" s="19" t="s">
        <v>363</v>
      </c>
      <c r="O6" s="19" t="str">
        <f t="shared" si="0"/>
        <v>2 hits</v>
      </c>
      <c r="P6" s="7" t="s">
        <v>364</v>
      </c>
    </row>
    <row r="7" spans="1:16" ht="15.75" customHeight="1" x14ac:dyDescent="0.15">
      <c r="A7" s="6" t="s">
        <v>314</v>
      </c>
      <c r="B7" s="7" t="s">
        <v>365</v>
      </c>
      <c r="C7" s="7" t="s">
        <v>366</v>
      </c>
      <c r="D7" s="8">
        <v>256</v>
      </c>
      <c r="E7" s="7" t="s">
        <v>367</v>
      </c>
      <c r="F7" s="8">
        <v>343</v>
      </c>
      <c r="G7" s="20" t="s">
        <v>368</v>
      </c>
      <c r="H7" s="16" t="s">
        <v>369</v>
      </c>
      <c r="I7" s="16" t="s">
        <v>370</v>
      </c>
      <c r="J7" s="16">
        <v>88</v>
      </c>
      <c r="K7" s="16" t="s">
        <v>371</v>
      </c>
      <c r="L7" s="19"/>
      <c r="M7" s="7" t="s">
        <v>342</v>
      </c>
      <c r="N7" s="19" t="s">
        <v>333</v>
      </c>
      <c r="O7" s="19" t="str">
        <f t="shared" si="0"/>
        <v>2 hits</v>
      </c>
      <c r="P7" s="7" t="s">
        <v>372</v>
      </c>
    </row>
    <row r="8" spans="1:16" ht="15.75" customHeight="1" x14ac:dyDescent="0.15">
      <c r="A8" s="6" t="s">
        <v>314</v>
      </c>
      <c r="B8" s="6" t="s">
        <v>373</v>
      </c>
      <c r="C8" s="7" t="s">
        <v>374</v>
      </c>
      <c r="D8" s="8">
        <v>681</v>
      </c>
      <c r="E8" s="7" t="s">
        <v>375</v>
      </c>
      <c r="F8" s="8">
        <v>781</v>
      </c>
      <c r="G8" s="19" t="s">
        <v>376</v>
      </c>
      <c r="H8" s="16" t="s">
        <v>377</v>
      </c>
      <c r="I8" s="16" t="s">
        <v>378</v>
      </c>
      <c r="J8" s="16">
        <v>101</v>
      </c>
      <c r="K8" s="16">
        <v>55</v>
      </c>
      <c r="L8" s="19"/>
      <c r="M8" s="19" t="s">
        <v>379</v>
      </c>
      <c r="N8" s="19" t="s">
        <v>380</v>
      </c>
      <c r="O8" s="19" t="str">
        <f t="shared" si="0"/>
        <v>2 hits</v>
      </c>
      <c r="P8" s="6" t="s">
        <v>381</v>
      </c>
    </row>
    <row r="9" spans="1:16" ht="15.75" customHeight="1" x14ac:dyDescent="0.15">
      <c r="A9" s="6" t="s">
        <v>314</v>
      </c>
      <c r="B9" s="6" t="s">
        <v>382</v>
      </c>
      <c r="C9" s="7"/>
      <c r="E9" s="7"/>
      <c r="G9" s="19"/>
      <c r="H9" s="19"/>
      <c r="I9" s="16"/>
      <c r="J9" s="16"/>
      <c r="K9" s="16"/>
      <c r="L9" s="19"/>
      <c r="M9" s="19"/>
      <c r="N9" s="19"/>
      <c r="O9" s="19"/>
    </row>
    <row r="14" spans="1:16" ht="15.75" customHeight="1" x14ac:dyDescent="0.15">
      <c r="A14" s="6" t="s">
        <v>74</v>
      </c>
    </row>
    <row r="15" spans="1:16" ht="15.75" customHeight="1" x14ac:dyDescent="0.15">
      <c r="A15" s="6" t="s">
        <v>383</v>
      </c>
    </row>
    <row r="16" spans="1:16" ht="15.75" customHeight="1" x14ac:dyDescent="0.15">
      <c r="A16" s="6" t="s">
        <v>384</v>
      </c>
    </row>
    <row r="18" spans="1:13" ht="15.75" customHeight="1" x14ac:dyDescent="0.15">
      <c r="A18" s="6" t="s">
        <v>77</v>
      </c>
    </row>
    <row r="19" spans="1:13" ht="15.75" customHeight="1" x14ac:dyDescent="0.15">
      <c r="A19" s="6" t="s">
        <v>385</v>
      </c>
    </row>
    <row r="20" spans="1:13" ht="15.75" customHeight="1" x14ac:dyDescent="0.15">
      <c r="A20" s="6" t="s">
        <v>386</v>
      </c>
    </row>
    <row r="21" spans="1:13" ht="15.75" customHeight="1" x14ac:dyDescent="0.15">
      <c r="A21" s="6" t="s">
        <v>387</v>
      </c>
    </row>
    <row r="22" spans="1:13" ht="15.75" customHeight="1" x14ac:dyDescent="0.15">
      <c r="A22" s="6" t="s">
        <v>388</v>
      </c>
    </row>
    <row r="23" spans="1:13" ht="15.75" customHeight="1" x14ac:dyDescent="0.15">
      <c r="A23" s="6" t="s">
        <v>389</v>
      </c>
    </row>
    <row r="24" spans="1:13" ht="15.75" customHeight="1" x14ac:dyDescent="0.15">
      <c r="A24" s="6" t="s">
        <v>390</v>
      </c>
    </row>
    <row r="25" spans="1:13" ht="15.75" customHeight="1" x14ac:dyDescent="0.15">
      <c r="A25" s="6" t="s">
        <v>391</v>
      </c>
    </row>
    <row r="28" spans="1:13" ht="15.75" customHeight="1" x14ac:dyDescent="0.15">
      <c r="A28" s="12" t="s">
        <v>84</v>
      </c>
    </row>
    <row r="29" spans="1:13" ht="15.75" customHeight="1" x14ac:dyDescent="0.15">
      <c r="A29" s="6" t="s">
        <v>85</v>
      </c>
      <c r="B29" s="6" t="s">
        <v>86</v>
      </c>
      <c r="C29" s="6" t="s">
        <v>87</v>
      </c>
      <c r="D29" s="6" t="s">
        <v>88</v>
      </c>
      <c r="E29" s="6" t="s">
        <v>89</v>
      </c>
      <c r="F29" s="6" t="s">
        <v>90</v>
      </c>
      <c r="G29" s="6" t="s">
        <v>91</v>
      </c>
      <c r="H29" s="6" t="s">
        <v>92</v>
      </c>
      <c r="I29" s="6" t="s">
        <v>93</v>
      </c>
      <c r="J29" s="6" t="s">
        <v>94</v>
      </c>
      <c r="K29" s="6" t="s">
        <v>95</v>
      </c>
      <c r="L29" s="6" t="s">
        <v>96</v>
      </c>
      <c r="M29" s="6" t="s">
        <v>97</v>
      </c>
    </row>
    <row r="30" spans="1:13" ht="15.75" customHeight="1" x14ac:dyDescent="0.15">
      <c r="A30" s="6" t="s">
        <v>100</v>
      </c>
      <c r="B30" s="6" t="s">
        <v>392</v>
      </c>
      <c r="C30" s="6">
        <v>65.900000000000006</v>
      </c>
      <c r="D30" s="6">
        <v>55</v>
      </c>
      <c r="E30" s="6">
        <v>20</v>
      </c>
      <c r="F30" s="6">
        <v>3</v>
      </c>
      <c r="G30" s="6">
        <v>6</v>
      </c>
      <c r="H30" s="6">
        <v>2</v>
      </c>
      <c r="I30" s="6">
        <v>9</v>
      </c>
      <c r="J30" s="6">
        <v>196600</v>
      </c>
      <c r="K30" s="6">
        <v>6244.1</v>
      </c>
      <c r="L30" s="6">
        <v>5.0999999999999996</v>
      </c>
      <c r="M30" s="6">
        <v>31.8</v>
      </c>
    </row>
    <row r="31" spans="1:13" ht="15.75" customHeight="1" x14ac:dyDescent="0.15">
      <c r="A31" s="6" t="s">
        <v>98</v>
      </c>
      <c r="B31" s="6" t="s">
        <v>393</v>
      </c>
      <c r="C31" s="6">
        <v>65.900000000000006</v>
      </c>
      <c r="D31" s="6">
        <v>55</v>
      </c>
      <c r="E31" s="6">
        <v>20</v>
      </c>
      <c r="F31" s="6">
        <v>7</v>
      </c>
      <c r="G31" s="6">
        <v>2</v>
      </c>
      <c r="H31" s="6">
        <v>3</v>
      </c>
      <c r="I31" s="6">
        <v>8</v>
      </c>
      <c r="J31" s="6">
        <v>208100</v>
      </c>
      <c r="K31" s="6">
        <v>6240.1</v>
      </c>
      <c r="L31" s="6">
        <v>4.8</v>
      </c>
      <c r="M31" s="6">
        <v>30</v>
      </c>
    </row>
    <row r="32" spans="1:13" ht="15.75" customHeight="1" x14ac:dyDescent="0.15">
      <c r="A32" s="6" t="s">
        <v>106</v>
      </c>
      <c r="B32" s="6" t="s">
        <v>394</v>
      </c>
      <c r="C32" s="6">
        <v>65.2</v>
      </c>
      <c r="D32" s="6">
        <v>55</v>
      </c>
      <c r="E32" s="6">
        <v>20</v>
      </c>
      <c r="F32" s="6">
        <v>5</v>
      </c>
      <c r="G32" s="6">
        <v>4</v>
      </c>
      <c r="H32" s="6">
        <v>7</v>
      </c>
      <c r="I32" s="6">
        <v>4</v>
      </c>
      <c r="J32" s="6">
        <v>188900</v>
      </c>
      <c r="K32" s="6">
        <v>6062</v>
      </c>
      <c r="L32" s="6">
        <v>5.3</v>
      </c>
      <c r="M32" s="6">
        <v>32.1</v>
      </c>
    </row>
    <row r="33" spans="1:13" ht="15.75" customHeight="1" x14ac:dyDescent="0.15">
      <c r="A33" s="6" t="s">
        <v>108</v>
      </c>
      <c r="B33" s="6" t="s">
        <v>395</v>
      </c>
      <c r="C33" s="6">
        <v>67.2</v>
      </c>
      <c r="D33" s="6">
        <v>60</v>
      </c>
      <c r="E33" s="6">
        <v>20</v>
      </c>
      <c r="F33" s="6">
        <v>5</v>
      </c>
      <c r="G33" s="6">
        <v>3</v>
      </c>
      <c r="H33" s="6">
        <v>0</v>
      </c>
      <c r="I33" s="6">
        <v>12</v>
      </c>
      <c r="J33" s="6">
        <v>211700</v>
      </c>
      <c r="K33" s="6">
        <v>6367.2</v>
      </c>
      <c r="L33" s="6">
        <v>4.7</v>
      </c>
      <c r="M33" s="6">
        <v>30.1</v>
      </c>
    </row>
    <row r="34" spans="1:13" ht="15.75" customHeight="1" x14ac:dyDescent="0.15">
      <c r="A34" s="6" t="s">
        <v>114</v>
      </c>
      <c r="B34" s="6" t="s">
        <v>396</v>
      </c>
      <c r="C34" s="6">
        <v>66.900000000000006</v>
      </c>
      <c r="D34" s="6">
        <v>50</v>
      </c>
      <c r="E34" s="6">
        <v>20</v>
      </c>
      <c r="F34" s="6">
        <v>7</v>
      </c>
      <c r="G34" s="6">
        <v>3</v>
      </c>
      <c r="H34" s="6">
        <v>5</v>
      </c>
      <c r="I34" s="6">
        <v>5</v>
      </c>
      <c r="J34" s="6">
        <v>198700</v>
      </c>
      <c r="K34" s="6">
        <v>6135.1</v>
      </c>
      <c r="L34" s="6">
        <v>5</v>
      </c>
      <c r="M34" s="6">
        <v>30.9</v>
      </c>
    </row>
    <row r="35" spans="1:13" ht="15.75" customHeight="1" x14ac:dyDescent="0.15">
      <c r="A35" s="6" t="s">
        <v>116</v>
      </c>
      <c r="B35" s="6" t="s">
        <v>397</v>
      </c>
      <c r="C35" s="6">
        <v>66.3</v>
      </c>
      <c r="D35" s="6">
        <v>50</v>
      </c>
      <c r="E35" s="6">
        <v>20</v>
      </c>
      <c r="F35" s="6">
        <v>6</v>
      </c>
      <c r="G35" s="6">
        <v>4</v>
      </c>
      <c r="H35" s="6">
        <v>3</v>
      </c>
      <c r="I35" s="6">
        <v>7</v>
      </c>
      <c r="J35" s="6">
        <v>203200</v>
      </c>
      <c r="K35" s="6">
        <v>6206.1</v>
      </c>
      <c r="L35" s="6">
        <v>4.9000000000000004</v>
      </c>
      <c r="M35" s="6">
        <v>30.5</v>
      </c>
    </row>
    <row r="36" spans="1:13" ht="15.75" customHeight="1" x14ac:dyDescent="0.15">
      <c r="A36" s="6" t="s">
        <v>122</v>
      </c>
      <c r="B36" s="6" t="s">
        <v>398</v>
      </c>
      <c r="C36" s="6">
        <v>67</v>
      </c>
      <c r="D36" s="6">
        <v>55</v>
      </c>
      <c r="E36" s="6">
        <v>20</v>
      </c>
      <c r="F36" s="6">
        <v>3</v>
      </c>
      <c r="G36" s="6">
        <v>6</v>
      </c>
      <c r="H36" s="6">
        <v>4</v>
      </c>
      <c r="I36" s="6">
        <v>7</v>
      </c>
      <c r="J36" s="6">
        <v>188100</v>
      </c>
      <c r="K36" s="6">
        <v>6164.1</v>
      </c>
      <c r="L36" s="6">
        <v>5.3</v>
      </c>
      <c r="M36" s="6">
        <v>32.799999999999997</v>
      </c>
    </row>
    <row r="37" spans="1:13" ht="15.75" customHeight="1" x14ac:dyDescent="0.15">
      <c r="A37" s="6" t="s">
        <v>124</v>
      </c>
      <c r="B37" s="6" t="s">
        <v>399</v>
      </c>
      <c r="C37" s="6">
        <v>65.2</v>
      </c>
      <c r="D37" s="6">
        <v>55</v>
      </c>
      <c r="E37" s="6">
        <v>20</v>
      </c>
      <c r="F37" s="6">
        <v>4</v>
      </c>
      <c r="G37" s="6">
        <v>5</v>
      </c>
      <c r="H37" s="6">
        <v>4</v>
      </c>
      <c r="I37" s="6">
        <v>7</v>
      </c>
      <c r="J37" s="6">
        <v>193500</v>
      </c>
      <c r="K37" s="6">
        <v>6173.1</v>
      </c>
      <c r="L37" s="6">
        <v>5.2</v>
      </c>
      <c r="M37" s="6">
        <v>31.9</v>
      </c>
    </row>
    <row r="38" spans="1:13" ht="15.75" customHeight="1" x14ac:dyDescent="0.15">
      <c r="A38" s="6" t="s">
        <v>286</v>
      </c>
      <c r="B38" s="6" t="s">
        <v>400</v>
      </c>
      <c r="C38" s="6">
        <v>65.900000000000006</v>
      </c>
      <c r="D38" s="6">
        <v>55</v>
      </c>
      <c r="E38" s="6">
        <v>20</v>
      </c>
      <c r="F38" s="6">
        <v>6</v>
      </c>
      <c r="G38" s="6">
        <v>3</v>
      </c>
      <c r="H38" s="6">
        <v>9</v>
      </c>
      <c r="I38" s="6">
        <v>2</v>
      </c>
      <c r="J38" s="6">
        <v>184000</v>
      </c>
      <c r="K38" s="6">
        <v>5990.9</v>
      </c>
      <c r="L38" s="6">
        <v>5.4</v>
      </c>
      <c r="M38" s="6">
        <v>32.6</v>
      </c>
    </row>
    <row r="39" spans="1:13" ht="15.75" customHeight="1" x14ac:dyDescent="0.15">
      <c r="A39" s="6" t="s">
        <v>288</v>
      </c>
      <c r="B39" s="6" t="s">
        <v>401</v>
      </c>
      <c r="C39" s="6">
        <v>66.8</v>
      </c>
      <c r="D39" s="6">
        <v>55</v>
      </c>
      <c r="E39" s="6">
        <v>20</v>
      </c>
      <c r="F39" s="6">
        <v>7</v>
      </c>
      <c r="G39" s="6">
        <v>2</v>
      </c>
      <c r="H39" s="6">
        <v>6</v>
      </c>
      <c r="I39" s="6">
        <v>5</v>
      </c>
      <c r="J39" s="6">
        <v>198400</v>
      </c>
      <c r="K39" s="6">
        <v>6120</v>
      </c>
      <c r="L39" s="6">
        <v>5</v>
      </c>
      <c r="M39" s="6">
        <v>30.8</v>
      </c>
    </row>
    <row r="40" spans="1:13" ht="15.75" customHeight="1" x14ac:dyDescent="0.15">
      <c r="A40" s="6" t="s">
        <v>290</v>
      </c>
      <c r="B40" s="6" t="s">
        <v>402</v>
      </c>
      <c r="C40" s="6">
        <v>66.400000000000006</v>
      </c>
      <c r="D40" s="6">
        <v>60</v>
      </c>
      <c r="E40" s="6">
        <v>20</v>
      </c>
      <c r="F40" s="6">
        <v>4</v>
      </c>
      <c r="G40" s="6">
        <v>4</v>
      </c>
      <c r="H40" s="6">
        <v>8</v>
      </c>
      <c r="I40" s="6">
        <v>4</v>
      </c>
      <c r="J40" s="6">
        <v>181000</v>
      </c>
      <c r="K40" s="6">
        <v>6038</v>
      </c>
      <c r="L40" s="6">
        <v>5.5</v>
      </c>
      <c r="M40" s="6">
        <v>33.4</v>
      </c>
    </row>
    <row r="41" spans="1:13" ht="15.75" customHeight="1" x14ac:dyDescent="0.15">
      <c r="A41" s="6" t="s">
        <v>292</v>
      </c>
      <c r="B41" s="6" t="s">
        <v>403</v>
      </c>
      <c r="C41" s="6">
        <v>64</v>
      </c>
      <c r="D41" s="6">
        <v>55</v>
      </c>
      <c r="E41" s="6">
        <v>20</v>
      </c>
      <c r="F41" s="6">
        <v>5</v>
      </c>
      <c r="G41" s="6">
        <v>4</v>
      </c>
      <c r="H41" s="6">
        <v>1</v>
      </c>
      <c r="I41" s="6">
        <v>10</v>
      </c>
      <c r="J41" s="6">
        <v>209700</v>
      </c>
      <c r="K41" s="6">
        <v>6302.2</v>
      </c>
      <c r="L41" s="6">
        <v>4.8</v>
      </c>
      <c r="M41" s="6">
        <v>30.1</v>
      </c>
    </row>
    <row r="42" spans="1:13" ht="15.75" customHeight="1" x14ac:dyDescent="0.15">
      <c r="A42" s="6" t="s">
        <v>404</v>
      </c>
      <c r="B42" s="6" t="s">
        <v>405</v>
      </c>
      <c r="C42" s="6">
        <v>64.8</v>
      </c>
      <c r="D42" s="6">
        <v>55</v>
      </c>
      <c r="E42" s="6">
        <v>20</v>
      </c>
      <c r="F42" s="6">
        <v>2</v>
      </c>
      <c r="G42" s="6">
        <v>7</v>
      </c>
      <c r="H42" s="6">
        <v>6</v>
      </c>
      <c r="I42" s="6">
        <v>5</v>
      </c>
      <c r="J42" s="6">
        <v>178100</v>
      </c>
      <c r="K42" s="6">
        <v>6075</v>
      </c>
      <c r="L42" s="6">
        <v>5.6</v>
      </c>
      <c r="M42" s="6">
        <v>34.1</v>
      </c>
    </row>
    <row r="43" spans="1:13" ht="15.75" customHeight="1" x14ac:dyDescent="0.15">
      <c r="A43" s="6" t="s">
        <v>406</v>
      </c>
      <c r="B43" s="6" t="s">
        <v>407</v>
      </c>
      <c r="C43" s="6">
        <v>67.2</v>
      </c>
      <c r="D43" s="6">
        <v>55</v>
      </c>
      <c r="E43" s="6">
        <v>20</v>
      </c>
      <c r="F43" s="6">
        <v>5</v>
      </c>
      <c r="G43" s="6">
        <v>4</v>
      </c>
      <c r="H43" s="6">
        <v>4</v>
      </c>
      <c r="I43" s="6">
        <v>7</v>
      </c>
      <c r="J43" s="6">
        <v>199000</v>
      </c>
      <c r="K43" s="6">
        <v>6182.1</v>
      </c>
      <c r="L43" s="6">
        <v>5</v>
      </c>
      <c r="M43" s="6">
        <v>31.1</v>
      </c>
    </row>
    <row r="44" spans="1:13" ht="15.75" customHeight="1" x14ac:dyDescent="0.15">
      <c r="A44" s="6" t="s">
        <v>130</v>
      </c>
      <c r="B44" s="6" t="s">
        <v>131</v>
      </c>
      <c r="C44" s="6">
        <v>64.400000000000006</v>
      </c>
      <c r="D44" s="6">
        <v>55</v>
      </c>
      <c r="E44" s="6">
        <v>20</v>
      </c>
      <c r="F44" s="6">
        <v>3</v>
      </c>
      <c r="G44" s="6">
        <v>6</v>
      </c>
      <c r="H44" s="6">
        <v>6</v>
      </c>
      <c r="I44" s="6">
        <v>5</v>
      </c>
      <c r="J44" s="6">
        <v>182600</v>
      </c>
      <c r="K44" s="6">
        <v>6084</v>
      </c>
      <c r="L44" s="6">
        <v>5.5</v>
      </c>
      <c r="M44" s="6">
        <v>33.299999999999997</v>
      </c>
    </row>
    <row r="45" spans="1:13" ht="13" x14ac:dyDescent="0.15">
      <c r="A45" s="6" t="s">
        <v>132</v>
      </c>
      <c r="B45" s="6" t="s">
        <v>133</v>
      </c>
      <c r="C45" s="6">
        <v>65.900000000000006</v>
      </c>
      <c r="D45" s="6">
        <v>52.6</v>
      </c>
      <c r="E45" s="6">
        <v>19</v>
      </c>
      <c r="F45" s="6">
        <v>4</v>
      </c>
      <c r="G45" s="6">
        <v>5</v>
      </c>
      <c r="H45" s="6">
        <v>7</v>
      </c>
      <c r="I45" s="6">
        <v>3</v>
      </c>
      <c r="J45" s="6">
        <v>173400</v>
      </c>
      <c r="K45" s="6">
        <v>5723.8</v>
      </c>
      <c r="L45" s="6">
        <v>5.8</v>
      </c>
      <c r="M45" s="6">
        <v>33</v>
      </c>
    </row>
    <row r="48" spans="1:13" ht="13" x14ac:dyDescent="0.15">
      <c r="A48" s="6" t="s">
        <v>134</v>
      </c>
    </row>
    <row r="51" spans="1:1" ht="13" x14ac:dyDescent="0.15">
      <c r="A51" s="6" t="s">
        <v>139</v>
      </c>
    </row>
    <row r="53" spans="1:1" ht="13" x14ac:dyDescent="0.15">
      <c r="A53" s="6" t="s">
        <v>408</v>
      </c>
    </row>
    <row r="54" spans="1:1" ht="13" x14ac:dyDescent="0.15">
      <c r="A54" s="6" t="s">
        <v>100</v>
      </c>
    </row>
    <row r="55" spans="1:1" ht="13" x14ac:dyDescent="0.15">
      <c r="A55" s="6" t="s">
        <v>409</v>
      </c>
    </row>
    <row r="56" spans="1:1" ht="13" x14ac:dyDescent="0.15">
      <c r="A56" s="6" t="s">
        <v>142</v>
      </c>
    </row>
    <row r="57" spans="1:1" ht="13" x14ac:dyDescent="0.15">
      <c r="A57" s="6" t="s">
        <v>410</v>
      </c>
    </row>
    <row r="59" spans="1:1" ht="13" x14ac:dyDescent="0.15">
      <c r="A59" s="6" t="s">
        <v>411</v>
      </c>
    </row>
    <row r="60" spans="1:1" ht="13" x14ac:dyDescent="0.15">
      <c r="A60" s="6" t="s">
        <v>106</v>
      </c>
    </row>
    <row r="61" spans="1:1" ht="13" x14ac:dyDescent="0.15">
      <c r="A61" s="6" t="s">
        <v>412</v>
      </c>
    </row>
    <row r="62" spans="1:1" ht="13" x14ac:dyDescent="0.15">
      <c r="A62" s="6" t="s">
        <v>142</v>
      </c>
    </row>
    <row r="63" spans="1:1" ht="13" x14ac:dyDescent="0.15">
      <c r="A63" s="6" t="s">
        <v>413</v>
      </c>
    </row>
    <row r="65" spans="1:1" ht="13" x14ac:dyDescent="0.15">
      <c r="A65" s="6" t="s">
        <v>414</v>
      </c>
    </row>
    <row r="66" spans="1:1" ht="13" x14ac:dyDescent="0.15">
      <c r="A66" s="6" t="s">
        <v>106</v>
      </c>
    </row>
    <row r="67" spans="1:1" ht="13" x14ac:dyDescent="0.15">
      <c r="A67" s="6" t="s">
        <v>412</v>
      </c>
    </row>
    <row r="68" spans="1:1" ht="13" x14ac:dyDescent="0.15">
      <c r="A68" s="6" t="s">
        <v>415</v>
      </c>
    </row>
    <row r="69" spans="1:1" ht="13" x14ac:dyDescent="0.15">
      <c r="A69" s="6" t="s">
        <v>416</v>
      </c>
    </row>
    <row r="71" spans="1:1" ht="13" x14ac:dyDescent="0.15">
      <c r="A71" s="6" t="s">
        <v>417</v>
      </c>
    </row>
    <row r="72" spans="1:1" ht="13" x14ac:dyDescent="0.15">
      <c r="A72" s="6" t="s">
        <v>108</v>
      </c>
    </row>
    <row r="73" spans="1:1" ht="13" x14ac:dyDescent="0.15">
      <c r="A73" s="6" t="s">
        <v>418</v>
      </c>
    </row>
    <row r="74" spans="1:1" ht="13" x14ac:dyDescent="0.15">
      <c r="A74" s="6" t="s">
        <v>419</v>
      </c>
    </row>
    <row r="75" spans="1:1" ht="13" x14ac:dyDescent="0.15">
      <c r="A75" s="6" t="s">
        <v>410</v>
      </c>
    </row>
    <row r="77" spans="1:1" ht="13" x14ac:dyDescent="0.15">
      <c r="A77" s="6" t="s">
        <v>418</v>
      </c>
    </row>
    <row r="78" spans="1:1" ht="13" x14ac:dyDescent="0.15">
      <c r="A78" s="6" t="s">
        <v>420</v>
      </c>
    </row>
    <row r="79" spans="1:1" ht="13" x14ac:dyDescent="0.15">
      <c r="A79" s="6" t="s">
        <v>410</v>
      </c>
    </row>
    <row r="81" spans="1:1" ht="13" x14ac:dyDescent="0.15">
      <c r="A81" s="6" t="s">
        <v>169</v>
      </c>
    </row>
    <row r="82" spans="1:1" ht="13" x14ac:dyDescent="0.15">
      <c r="A82" s="6" t="s">
        <v>108</v>
      </c>
    </row>
    <row r="83" spans="1:1" ht="13" x14ac:dyDescent="0.15">
      <c r="A83" s="6" t="s">
        <v>418</v>
      </c>
    </row>
    <row r="84" spans="1:1" ht="13" x14ac:dyDescent="0.15">
      <c r="A84" s="6" t="s">
        <v>421</v>
      </c>
    </row>
    <row r="85" spans="1:1" ht="13" x14ac:dyDescent="0.15">
      <c r="A85" s="6" t="s">
        <v>145</v>
      </c>
    </row>
    <row r="87" spans="1:1" ht="13" x14ac:dyDescent="0.15">
      <c r="A87" s="6" t="s">
        <v>422</v>
      </c>
    </row>
    <row r="88" spans="1:1" ht="13" x14ac:dyDescent="0.15">
      <c r="A88" s="6" t="s">
        <v>114</v>
      </c>
    </row>
    <row r="89" spans="1:1" ht="13" x14ac:dyDescent="0.15">
      <c r="A89" s="6" t="s">
        <v>423</v>
      </c>
    </row>
    <row r="90" spans="1:1" ht="13" x14ac:dyDescent="0.15">
      <c r="A90" s="6" t="s">
        <v>419</v>
      </c>
    </row>
    <row r="91" spans="1:1" ht="13" x14ac:dyDescent="0.15">
      <c r="A91" s="6" t="s">
        <v>424</v>
      </c>
    </row>
    <row r="93" spans="1:1" ht="13" x14ac:dyDescent="0.15">
      <c r="A93" s="6" t="s">
        <v>425</v>
      </c>
    </row>
    <row r="94" spans="1:1" ht="13" x14ac:dyDescent="0.15">
      <c r="A94" s="6" t="s">
        <v>114</v>
      </c>
    </row>
    <row r="95" spans="1:1" ht="13" x14ac:dyDescent="0.15">
      <c r="A95" s="6" t="s">
        <v>423</v>
      </c>
    </row>
    <row r="96" spans="1:1" ht="13" x14ac:dyDescent="0.15">
      <c r="A96" s="6" t="s">
        <v>426</v>
      </c>
    </row>
    <row r="97" spans="1:1" ht="13" x14ac:dyDescent="0.15">
      <c r="A97" s="6" t="s">
        <v>427</v>
      </c>
    </row>
    <row r="99" spans="1:1" ht="13" x14ac:dyDescent="0.15">
      <c r="A99" s="6" t="s">
        <v>428</v>
      </c>
    </row>
    <row r="100" spans="1:1" ht="13" x14ac:dyDescent="0.15">
      <c r="A100" s="6" t="s">
        <v>116</v>
      </c>
    </row>
    <row r="101" spans="1:1" ht="13" x14ac:dyDescent="0.15">
      <c r="A101" s="6" t="s">
        <v>429</v>
      </c>
    </row>
    <row r="102" spans="1:1" ht="13" x14ac:dyDescent="0.15">
      <c r="A102" s="6" t="s">
        <v>430</v>
      </c>
    </row>
    <row r="103" spans="1:1" ht="13" x14ac:dyDescent="0.15">
      <c r="A103" s="6" t="s">
        <v>431</v>
      </c>
    </row>
    <row r="105" spans="1:1" ht="13" x14ac:dyDescent="0.15">
      <c r="A105" s="6" t="s">
        <v>308</v>
      </c>
    </row>
    <row r="106" spans="1:1" ht="13" x14ac:dyDescent="0.15">
      <c r="A106" s="6" t="s">
        <v>124</v>
      </c>
    </row>
    <row r="107" spans="1:1" ht="13" x14ac:dyDescent="0.15">
      <c r="A107" s="6" t="s">
        <v>432</v>
      </c>
    </row>
    <row r="108" spans="1:1" ht="13" x14ac:dyDescent="0.15">
      <c r="A108" s="6" t="s">
        <v>433</v>
      </c>
    </row>
    <row r="109" spans="1:1" ht="13" x14ac:dyDescent="0.15">
      <c r="A109" s="6" t="s">
        <v>431</v>
      </c>
    </row>
    <row r="111" spans="1:1" ht="13" x14ac:dyDescent="0.15">
      <c r="A111" s="6" t="s">
        <v>434</v>
      </c>
    </row>
    <row r="112" spans="1:1" ht="13" x14ac:dyDescent="0.15">
      <c r="A112" s="6" t="s">
        <v>286</v>
      </c>
    </row>
    <row r="113" spans="1:1" ht="13" x14ac:dyDescent="0.15">
      <c r="A113" s="6" t="s">
        <v>435</v>
      </c>
    </row>
    <row r="114" spans="1:1" ht="13" x14ac:dyDescent="0.15">
      <c r="A114" s="6" t="s">
        <v>436</v>
      </c>
    </row>
    <row r="115" spans="1:1" ht="13" x14ac:dyDescent="0.15">
      <c r="A115" s="6" t="s">
        <v>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357"/>
  <sheetViews>
    <sheetView workbookViewId="0"/>
  </sheetViews>
  <sheetFormatPr baseColWidth="10" defaultColWidth="12.6640625" defaultRowHeight="15.75" customHeight="1" x14ac:dyDescent="0.15"/>
  <cols>
    <col min="2" max="2" width="34.6640625" customWidth="1"/>
    <col min="3" max="3" width="35.1640625" customWidth="1"/>
    <col min="4" max="4" width="33.1640625" customWidth="1"/>
  </cols>
  <sheetData>
    <row r="1" spans="2:14" ht="15.75" customHeight="1" x14ac:dyDescent="0.15">
      <c r="B1" s="6" t="s">
        <v>437</v>
      </c>
      <c r="C1" s="6" t="s">
        <v>438</v>
      </c>
      <c r="D1" s="6" t="s">
        <v>439</v>
      </c>
    </row>
    <row r="2" spans="2:14" ht="15.75" customHeight="1" x14ac:dyDescent="0.15">
      <c r="B2" s="13" t="s">
        <v>440</v>
      </c>
      <c r="C2" s="13" t="s">
        <v>441</v>
      </c>
      <c r="D2" s="13" t="s">
        <v>442</v>
      </c>
      <c r="F2" s="6" t="s">
        <v>443</v>
      </c>
      <c r="G2" s="6" t="s">
        <v>444</v>
      </c>
      <c r="H2" s="6" t="s">
        <v>445</v>
      </c>
      <c r="I2" s="6" t="s">
        <v>446</v>
      </c>
      <c r="L2" s="6" t="s">
        <v>443</v>
      </c>
      <c r="M2" s="6" t="s">
        <v>444</v>
      </c>
      <c r="N2" s="6" t="s">
        <v>445</v>
      </c>
    </row>
    <row r="3" spans="2:14" ht="15.75" customHeight="1" x14ac:dyDescent="0.15">
      <c r="B3" s="6" t="s">
        <v>447</v>
      </c>
      <c r="C3" s="13" t="s">
        <v>448</v>
      </c>
      <c r="D3" s="6" t="s">
        <v>449</v>
      </c>
      <c r="F3" s="6" t="s">
        <v>36</v>
      </c>
      <c r="G3" s="6" t="s">
        <v>46</v>
      </c>
      <c r="H3" s="6" t="s">
        <v>17</v>
      </c>
      <c r="I3" s="6" t="s">
        <v>27</v>
      </c>
      <c r="J3" s="6" t="s">
        <v>450</v>
      </c>
      <c r="L3" s="6" t="s">
        <v>451</v>
      </c>
      <c r="M3" s="6" t="s">
        <v>452</v>
      </c>
    </row>
    <row r="4" spans="2:14" ht="15.75" customHeight="1" x14ac:dyDescent="0.15">
      <c r="B4" s="6" t="s">
        <v>453</v>
      </c>
      <c r="C4" s="13" t="s">
        <v>454</v>
      </c>
      <c r="D4" s="6" t="s">
        <v>455</v>
      </c>
      <c r="F4" s="6" t="s">
        <v>456</v>
      </c>
      <c r="G4" s="28" t="s">
        <v>457</v>
      </c>
      <c r="H4" s="6" t="s">
        <v>457</v>
      </c>
      <c r="I4" s="6" t="s">
        <v>217</v>
      </c>
      <c r="J4" s="6" t="s">
        <v>458</v>
      </c>
      <c r="M4" s="6" t="s">
        <v>196</v>
      </c>
    </row>
    <row r="5" spans="2:14" ht="15.75" customHeight="1" x14ac:dyDescent="0.15">
      <c r="B5" s="6" t="s">
        <v>459</v>
      </c>
      <c r="C5" s="6" t="s">
        <v>460</v>
      </c>
      <c r="D5" s="6" t="s">
        <v>461</v>
      </c>
      <c r="F5" s="28" t="s">
        <v>462</v>
      </c>
      <c r="G5" s="6" t="s">
        <v>452</v>
      </c>
      <c r="H5" s="6" t="s">
        <v>196</v>
      </c>
      <c r="I5" s="6" t="s">
        <v>226</v>
      </c>
      <c r="J5" s="6" t="s">
        <v>463</v>
      </c>
    </row>
    <row r="6" spans="2:14" ht="15.75" customHeight="1" x14ac:dyDescent="0.15">
      <c r="B6" s="6" t="s">
        <v>464</v>
      </c>
      <c r="C6" s="6" t="s">
        <v>465</v>
      </c>
      <c r="D6" s="6" t="s">
        <v>466</v>
      </c>
      <c r="F6" s="28" t="s">
        <v>196</v>
      </c>
      <c r="G6" s="6" t="s">
        <v>462</v>
      </c>
      <c r="I6" s="6" t="s">
        <v>236</v>
      </c>
      <c r="J6" s="6" t="s">
        <v>463</v>
      </c>
    </row>
    <row r="7" spans="2:14" ht="15.75" customHeight="1" x14ac:dyDescent="0.15">
      <c r="B7" s="6" t="s">
        <v>467</v>
      </c>
      <c r="C7" s="6" t="s">
        <v>468</v>
      </c>
      <c r="D7" s="13" t="s">
        <v>469</v>
      </c>
      <c r="F7" s="6" t="s">
        <v>206</v>
      </c>
      <c r="G7" s="28" t="s">
        <v>196</v>
      </c>
      <c r="I7" s="6" t="s">
        <v>244</v>
      </c>
      <c r="J7" s="6" t="s">
        <v>463</v>
      </c>
    </row>
    <row r="8" spans="2:14" ht="15.75" customHeight="1" x14ac:dyDescent="0.15">
      <c r="B8" s="13" t="s">
        <v>470</v>
      </c>
      <c r="C8" s="6" t="s">
        <v>471</v>
      </c>
      <c r="D8" s="6" t="s">
        <v>472</v>
      </c>
      <c r="G8" s="28" t="s">
        <v>206</v>
      </c>
    </row>
    <row r="9" spans="2:14" ht="15.75" customHeight="1" x14ac:dyDescent="0.15">
      <c r="B9" s="13" t="s">
        <v>473</v>
      </c>
      <c r="C9" s="6" t="s">
        <v>474</v>
      </c>
      <c r="D9" s="6" t="s">
        <v>475</v>
      </c>
    </row>
    <row r="10" spans="2:14" ht="15.75" customHeight="1" x14ac:dyDescent="0.15">
      <c r="B10" s="6" t="s">
        <v>476</v>
      </c>
      <c r="C10" s="6" t="s">
        <v>477</v>
      </c>
      <c r="D10" s="6" t="s">
        <v>478</v>
      </c>
    </row>
    <row r="11" spans="2:14" ht="15.75" customHeight="1" x14ac:dyDescent="0.15">
      <c r="B11" s="6" t="s">
        <v>479</v>
      </c>
      <c r="C11" s="6" t="s">
        <v>480</v>
      </c>
      <c r="D11" s="6" t="s">
        <v>481</v>
      </c>
    </row>
    <row r="12" spans="2:14" ht="15.75" customHeight="1" x14ac:dyDescent="0.15">
      <c r="B12" s="6" t="s">
        <v>482</v>
      </c>
      <c r="C12" s="6" t="s">
        <v>483</v>
      </c>
    </row>
    <row r="13" spans="2:14" ht="15.75" customHeight="1" x14ac:dyDescent="0.15">
      <c r="B13" s="6" t="s">
        <v>484</v>
      </c>
      <c r="C13" s="6" t="s">
        <v>485</v>
      </c>
      <c r="F13" s="6" t="s">
        <v>486</v>
      </c>
      <c r="G13" s="6" t="s">
        <v>463</v>
      </c>
      <c r="H13" s="6" t="s">
        <v>487</v>
      </c>
      <c r="I13" s="6" t="s">
        <v>488</v>
      </c>
    </row>
    <row r="14" spans="2:14" ht="15.75" customHeight="1" x14ac:dyDescent="0.15">
      <c r="B14" s="6" t="s">
        <v>489</v>
      </c>
      <c r="C14" s="6" t="s">
        <v>490</v>
      </c>
      <c r="F14" s="6" t="s">
        <v>491</v>
      </c>
      <c r="G14" s="6" t="s">
        <v>492</v>
      </c>
    </row>
    <row r="15" spans="2:14" ht="15.75" customHeight="1" x14ac:dyDescent="0.15">
      <c r="B15" s="6" t="s">
        <v>493</v>
      </c>
      <c r="C15" s="6" t="s">
        <v>494</v>
      </c>
      <c r="F15" s="6" t="s">
        <v>92</v>
      </c>
      <c r="G15" s="6" t="s">
        <v>495</v>
      </c>
    </row>
    <row r="16" spans="2:14" ht="15.75" customHeight="1" x14ac:dyDescent="0.15">
      <c r="B16" s="6" t="s">
        <v>496</v>
      </c>
      <c r="C16" s="6" t="s">
        <v>497</v>
      </c>
      <c r="F16" s="6" t="s">
        <v>498</v>
      </c>
      <c r="G16" s="6" t="s">
        <v>463</v>
      </c>
    </row>
    <row r="17" spans="1:9" ht="15.75" customHeight="1" x14ac:dyDescent="0.15">
      <c r="B17" s="6" t="s">
        <v>499</v>
      </c>
      <c r="C17" s="6" t="s">
        <v>500</v>
      </c>
      <c r="F17" s="6" t="s">
        <v>501</v>
      </c>
      <c r="G17" s="6" t="s">
        <v>463</v>
      </c>
    </row>
    <row r="18" spans="1:9" ht="15.75" customHeight="1" x14ac:dyDescent="0.15">
      <c r="B18" s="6" t="s">
        <v>502</v>
      </c>
      <c r="C18" s="6" t="s">
        <v>503</v>
      </c>
      <c r="F18" s="6" t="s">
        <v>504</v>
      </c>
      <c r="G18" s="6" t="s">
        <v>505</v>
      </c>
    </row>
    <row r="19" spans="1:9" ht="15.75" customHeight="1" x14ac:dyDescent="0.15">
      <c r="B19" s="6" t="s">
        <v>506</v>
      </c>
      <c r="C19" s="6" t="s">
        <v>507</v>
      </c>
      <c r="F19" s="6" t="s">
        <v>93</v>
      </c>
      <c r="G19" s="6" t="s">
        <v>505</v>
      </c>
    </row>
    <row r="20" spans="1:9" ht="15.75" customHeight="1" x14ac:dyDescent="0.15">
      <c r="B20" s="6" t="s">
        <v>508</v>
      </c>
      <c r="C20" s="6" t="s">
        <v>509</v>
      </c>
    </row>
    <row r="21" spans="1:9" ht="15.75" customHeight="1" x14ac:dyDescent="0.15">
      <c r="B21" s="6" t="s">
        <v>510</v>
      </c>
    </row>
    <row r="23" spans="1:9" ht="15.75" customHeight="1" x14ac:dyDescent="0.15">
      <c r="A23" s="6" t="s">
        <v>443</v>
      </c>
      <c r="B23" s="6" t="s">
        <v>511</v>
      </c>
      <c r="C23" s="6" t="s">
        <v>512</v>
      </c>
      <c r="D23" s="6" t="s">
        <v>513</v>
      </c>
      <c r="E23" s="6" t="s">
        <v>514</v>
      </c>
    </row>
    <row r="24" spans="1:9" ht="15.75" customHeight="1" x14ac:dyDescent="0.15">
      <c r="A24" s="13" t="s">
        <v>456</v>
      </c>
      <c r="B24" s="29">
        <v>98</v>
      </c>
      <c r="C24" s="29">
        <v>472</v>
      </c>
      <c r="D24" s="29">
        <v>569</v>
      </c>
      <c r="E24" s="29">
        <v>55</v>
      </c>
      <c r="F24" s="6" t="s">
        <v>463</v>
      </c>
    </row>
    <row r="25" spans="1:9" ht="15.75" customHeight="1" x14ac:dyDescent="0.15">
      <c r="A25" s="30" t="s">
        <v>206</v>
      </c>
      <c r="B25" s="31">
        <v>82</v>
      </c>
      <c r="C25" s="31">
        <v>150</v>
      </c>
      <c r="D25" s="31">
        <v>231</v>
      </c>
      <c r="E25" s="31" t="s">
        <v>211</v>
      </c>
      <c r="F25" s="6" t="s">
        <v>463</v>
      </c>
    </row>
    <row r="26" spans="1:9" ht="15.75" customHeight="1" x14ac:dyDescent="0.15">
      <c r="A26" s="32" t="s">
        <v>451</v>
      </c>
      <c r="B26" s="33">
        <v>88</v>
      </c>
      <c r="C26" s="33">
        <v>256</v>
      </c>
      <c r="D26" s="33">
        <v>343</v>
      </c>
      <c r="E26" s="33" t="s">
        <v>515</v>
      </c>
      <c r="F26" s="12" t="s">
        <v>505</v>
      </c>
    </row>
    <row r="27" spans="1:9" ht="15.75" customHeight="1" x14ac:dyDescent="0.15">
      <c r="A27" s="6"/>
      <c r="B27" s="8"/>
      <c r="C27" s="34"/>
      <c r="D27" s="8"/>
      <c r="E27" s="8"/>
    </row>
    <row r="28" spans="1:9" ht="15.75" customHeight="1" x14ac:dyDescent="0.15">
      <c r="A28" s="6" t="s">
        <v>444</v>
      </c>
      <c r="B28" s="8"/>
      <c r="C28" s="34"/>
      <c r="D28" s="8"/>
      <c r="E28" s="8"/>
    </row>
    <row r="29" spans="1:9" ht="15.75" customHeight="1" x14ac:dyDescent="0.15">
      <c r="A29" s="13" t="s">
        <v>46</v>
      </c>
      <c r="B29" s="29">
        <v>120</v>
      </c>
      <c r="C29" s="29">
        <v>972</v>
      </c>
      <c r="D29" s="29">
        <v>1091</v>
      </c>
      <c r="E29" s="29">
        <v>50</v>
      </c>
      <c r="F29" s="6" t="s">
        <v>463</v>
      </c>
    </row>
    <row r="30" spans="1:9" ht="15.75" customHeight="1" x14ac:dyDescent="0.15">
      <c r="A30" s="13" t="s">
        <v>452</v>
      </c>
      <c r="B30" s="29">
        <v>101</v>
      </c>
      <c r="C30" s="29">
        <v>681</v>
      </c>
      <c r="D30" s="29">
        <v>781</v>
      </c>
      <c r="E30" s="29">
        <v>55</v>
      </c>
      <c r="F30" s="6" t="s">
        <v>516</v>
      </c>
    </row>
    <row r="31" spans="1:9" ht="15.75" customHeight="1" x14ac:dyDescent="0.15">
      <c r="A31" s="32" t="s">
        <v>462</v>
      </c>
      <c r="B31" s="33"/>
      <c r="C31" s="33"/>
      <c r="D31" s="35"/>
      <c r="E31" s="33"/>
      <c r="F31" s="12" t="s">
        <v>505</v>
      </c>
      <c r="H31" s="26" t="s">
        <v>517</v>
      </c>
      <c r="I31" s="26" t="s">
        <v>518</v>
      </c>
    </row>
    <row r="32" spans="1:9" ht="15.75" customHeight="1" x14ac:dyDescent="0.15">
      <c r="A32" s="30" t="s">
        <v>36</v>
      </c>
      <c r="B32" s="36">
        <v>95</v>
      </c>
      <c r="C32" s="31">
        <v>1090</v>
      </c>
      <c r="D32" s="31">
        <v>1184</v>
      </c>
      <c r="E32" s="31">
        <v>55</v>
      </c>
      <c r="F32" s="6" t="s">
        <v>463</v>
      </c>
    </row>
    <row r="33" spans="1:6" ht="15.75" customHeight="1" x14ac:dyDescent="0.15">
      <c r="A33" s="6"/>
      <c r="B33" s="8"/>
      <c r="C33" s="8"/>
      <c r="D33" s="8"/>
      <c r="E33" s="8"/>
    </row>
    <row r="34" spans="1:6" ht="15.75" customHeight="1" x14ac:dyDescent="0.15">
      <c r="A34" s="6" t="s">
        <v>445</v>
      </c>
      <c r="B34" s="8"/>
      <c r="C34" s="8"/>
      <c r="D34" s="8"/>
      <c r="E34" s="8"/>
    </row>
    <row r="35" spans="1:6" ht="15.75" customHeight="1" x14ac:dyDescent="0.15">
      <c r="A35" s="30" t="s">
        <v>17</v>
      </c>
      <c r="B35" s="36">
        <v>104</v>
      </c>
      <c r="C35" s="31">
        <v>662</v>
      </c>
      <c r="D35" s="31">
        <v>765</v>
      </c>
      <c r="E35" s="31">
        <v>55</v>
      </c>
      <c r="F35" s="6" t="s">
        <v>450</v>
      </c>
    </row>
    <row r="36" spans="1:6" ht="15.75" customHeight="1" x14ac:dyDescent="0.15">
      <c r="A36" s="32" t="s">
        <v>452</v>
      </c>
      <c r="B36" s="33">
        <v>101</v>
      </c>
      <c r="C36" s="33">
        <v>681</v>
      </c>
      <c r="D36" s="33">
        <v>781</v>
      </c>
      <c r="E36" s="33">
        <v>55</v>
      </c>
      <c r="F36" s="12" t="s">
        <v>505</v>
      </c>
    </row>
    <row r="37" spans="1:6" ht="15.75" customHeight="1" x14ac:dyDescent="0.15">
      <c r="A37" s="32" t="s">
        <v>196</v>
      </c>
      <c r="B37" s="33">
        <v>95</v>
      </c>
      <c r="C37" s="33">
        <v>909</v>
      </c>
      <c r="D37" s="33">
        <v>1003</v>
      </c>
      <c r="E37" s="33">
        <v>55</v>
      </c>
      <c r="F37" s="12" t="s">
        <v>505</v>
      </c>
    </row>
    <row r="38" spans="1:6" ht="15.75" customHeight="1" x14ac:dyDescent="0.15">
      <c r="A38" s="6"/>
      <c r="B38" s="8"/>
      <c r="C38" s="8"/>
      <c r="D38" s="8"/>
      <c r="E38" s="8"/>
    </row>
    <row r="39" spans="1:6" ht="15.75" customHeight="1" x14ac:dyDescent="0.15">
      <c r="A39" s="6"/>
    </row>
    <row r="40" spans="1:6" ht="15.75" customHeight="1" x14ac:dyDescent="0.15">
      <c r="A40" s="6"/>
      <c r="C40" s="6"/>
      <c r="D40" s="6"/>
    </row>
    <row r="41" spans="1:6" ht="15.75" customHeight="1" x14ac:dyDescent="0.15">
      <c r="A41" s="6"/>
      <c r="C41" s="6"/>
      <c r="D41" s="6"/>
    </row>
    <row r="42" spans="1:6" ht="15.75" customHeight="1" x14ac:dyDescent="0.15">
      <c r="A42" s="6"/>
      <c r="C42" s="6"/>
      <c r="D42" s="6"/>
    </row>
    <row r="43" spans="1:6" ht="15.75" customHeight="1" x14ac:dyDescent="0.15">
      <c r="A43" s="6"/>
      <c r="C43" s="6"/>
      <c r="D43" s="6"/>
    </row>
    <row r="44" spans="1:6" ht="15.75" customHeight="1" x14ac:dyDescent="0.15">
      <c r="A44" s="6"/>
      <c r="C44" s="6"/>
      <c r="D44" s="6"/>
    </row>
    <row r="45" spans="1:6" ht="13" x14ac:dyDescent="0.15">
      <c r="A45" s="6"/>
      <c r="C45" s="6"/>
      <c r="D45" s="6"/>
    </row>
    <row r="46" spans="1:6" ht="13" x14ac:dyDescent="0.15">
      <c r="A46" s="6"/>
      <c r="C46" s="6"/>
      <c r="D46" s="6"/>
    </row>
    <row r="47" spans="1:6" ht="13" x14ac:dyDescent="0.15">
      <c r="A47" s="6"/>
      <c r="C47" s="6"/>
      <c r="D47" s="6"/>
    </row>
    <row r="48" spans="1:6" ht="13" x14ac:dyDescent="0.15">
      <c r="A48" s="6"/>
      <c r="C48" s="6"/>
      <c r="D48" s="6"/>
    </row>
    <row r="49" spans="1:4" ht="13" x14ac:dyDescent="0.15">
      <c r="A49" s="6"/>
      <c r="C49" s="6"/>
      <c r="D49" s="6"/>
    </row>
    <row r="50" spans="1:4" ht="13" x14ac:dyDescent="0.15">
      <c r="A50" s="6"/>
      <c r="C50" s="6"/>
      <c r="D50" s="6"/>
    </row>
    <row r="51" spans="1:4" ht="13" x14ac:dyDescent="0.15">
      <c r="A51" s="6"/>
      <c r="C51" s="6"/>
      <c r="D51" s="6"/>
    </row>
    <row r="52" spans="1:4" ht="13" x14ac:dyDescent="0.15">
      <c r="A52" s="6"/>
      <c r="C52" s="6"/>
      <c r="D52" s="6"/>
    </row>
    <row r="53" spans="1:4" ht="13" x14ac:dyDescent="0.15">
      <c r="A53" s="6"/>
      <c r="C53" s="6"/>
      <c r="D53" s="6"/>
    </row>
    <row r="54" spans="1:4" ht="13" x14ac:dyDescent="0.15">
      <c r="A54" s="6"/>
    </row>
    <row r="55" spans="1:4" ht="13" x14ac:dyDescent="0.15">
      <c r="A55" s="6" t="s">
        <v>139</v>
      </c>
    </row>
    <row r="57" spans="1:4" ht="13" x14ac:dyDescent="0.15">
      <c r="A57" s="6" t="s">
        <v>519</v>
      </c>
    </row>
    <row r="58" spans="1:4" ht="13" x14ac:dyDescent="0.15">
      <c r="A58" s="6" t="s">
        <v>520</v>
      </c>
    </row>
    <row r="59" spans="1:4" ht="13" x14ac:dyDescent="0.15">
      <c r="A59" s="6" t="s">
        <v>141</v>
      </c>
    </row>
    <row r="60" spans="1:4" ht="13" x14ac:dyDescent="0.15">
      <c r="A60" s="6" t="s">
        <v>137</v>
      </c>
    </row>
    <row r="61" spans="1:4" ht="13" x14ac:dyDescent="0.15">
      <c r="A61" s="6" t="s">
        <v>145</v>
      </c>
    </row>
    <row r="63" spans="1:4" ht="13" x14ac:dyDescent="0.15">
      <c r="A63" s="6" t="s">
        <v>447</v>
      </c>
    </row>
    <row r="64" spans="1:4" ht="13" x14ac:dyDescent="0.15">
      <c r="A64" s="6" t="s">
        <v>520</v>
      </c>
    </row>
    <row r="65" spans="1:1" ht="13" x14ac:dyDescent="0.15">
      <c r="A65" s="6" t="s">
        <v>141</v>
      </c>
    </row>
    <row r="66" spans="1:1" ht="13" x14ac:dyDescent="0.15">
      <c r="A66" s="6" t="s">
        <v>521</v>
      </c>
    </row>
    <row r="67" spans="1:1" ht="13" x14ac:dyDescent="0.15">
      <c r="A67" s="6" t="s">
        <v>522</v>
      </c>
    </row>
    <row r="69" spans="1:1" ht="13" x14ac:dyDescent="0.15">
      <c r="A69" s="6" t="s">
        <v>453</v>
      </c>
    </row>
    <row r="70" spans="1:1" ht="13" x14ac:dyDescent="0.15">
      <c r="A70" s="6" t="s">
        <v>523</v>
      </c>
    </row>
    <row r="71" spans="1:1" ht="13" x14ac:dyDescent="0.15">
      <c r="A71" s="6" t="s">
        <v>147</v>
      </c>
    </row>
    <row r="72" spans="1:1" ht="13" x14ac:dyDescent="0.15">
      <c r="A72" s="6" t="s">
        <v>524</v>
      </c>
    </row>
    <row r="73" spans="1:1" ht="13" x14ac:dyDescent="0.15">
      <c r="A73" s="6" t="s">
        <v>525</v>
      </c>
    </row>
    <row r="75" spans="1:1" ht="13" x14ac:dyDescent="0.15">
      <c r="A75" s="6" t="s">
        <v>459</v>
      </c>
    </row>
    <row r="76" spans="1:1" ht="13" x14ac:dyDescent="0.15">
      <c r="A76" s="6" t="s">
        <v>523</v>
      </c>
    </row>
    <row r="77" spans="1:1" ht="13" x14ac:dyDescent="0.15">
      <c r="A77" s="6" t="s">
        <v>147</v>
      </c>
    </row>
    <row r="78" spans="1:1" ht="13" x14ac:dyDescent="0.15">
      <c r="A78" s="6" t="s">
        <v>526</v>
      </c>
    </row>
    <row r="79" spans="1:1" ht="13" x14ac:dyDescent="0.15">
      <c r="A79" s="6" t="s">
        <v>427</v>
      </c>
    </row>
    <row r="81" spans="1:1" ht="13" x14ac:dyDescent="0.15">
      <c r="A81" s="6" t="s">
        <v>464</v>
      </c>
    </row>
    <row r="82" spans="1:1" ht="13" x14ac:dyDescent="0.15">
      <c r="A82" s="6" t="s">
        <v>527</v>
      </c>
    </row>
    <row r="83" spans="1:1" ht="13" x14ac:dyDescent="0.15">
      <c r="A83" s="6" t="s">
        <v>153</v>
      </c>
    </row>
    <row r="84" spans="1:1" ht="13" x14ac:dyDescent="0.15">
      <c r="A84" s="6" t="s">
        <v>156</v>
      </c>
    </row>
    <row r="85" spans="1:1" ht="13" x14ac:dyDescent="0.15">
      <c r="A85" s="6" t="s">
        <v>157</v>
      </c>
    </row>
    <row r="87" spans="1:1" ht="13" x14ac:dyDescent="0.15">
      <c r="A87" s="6" t="s">
        <v>467</v>
      </c>
    </row>
    <row r="88" spans="1:1" ht="13" x14ac:dyDescent="0.15">
      <c r="A88" s="6" t="s">
        <v>528</v>
      </c>
    </row>
    <row r="89" spans="1:1" ht="13" x14ac:dyDescent="0.15">
      <c r="A89" s="6" t="s">
        <v>159</v>
      </c>
    </row>
    <row r="90" spans="1:1" ht="13" x14ac:dyDescent="0.15">
      <c r="A90" s="6" t="s">
        <v>161</v>
      </c>
    </row>
    <row r="91" spans="1:1" ht="13" x14ac:dyDescent="0.15">
      <c r="A91" s="6" t="s">
        <v>162</v>
      </c>
    </row>
    <row r="93" spans="1:1" ht="13" x14ac:dyDescent="0.15">
      <c r="A93" s="6" t="s">
        <v>470</v>
      </c>
    </row>
    <row r="94" spans="1:1" ht="13" x14ac:dyDescent="0.15">
      <c r="A94" s="6" t="s">
        <v>528</v>
      </c>
    </row>
    <row r="95" spans="1:1" ht="13" x14ac:dyDescent="0.15">
      <c r="A95" s="6" t="s">
        <v>159</v>
      </c>
    </row>
    <row r="96" spans="1:1" ht="13" x14ac:dyDescent="0.15">
      <c r="A96" s="6" t="s">
        <v>167</v>
      </c>
    </row>
    <row r="97" spans="1:1" ht="13" x14ac:dyDescent="0.15">
      <c r="A97" s="6" t="s">
        <v>168</v>
      </c>
    </row>
    <row r="99" spans="1:1" ht="13" x14ac:dyDescent="0.15">
      <c r="A99" s="6" t="s">
        <v>473</v>
      </c>
    </row>
    <row r="100" spans="1:1" ht="13" x14ac:dyDescent="0.15">
      <c r="A100" s="6" t="s">
        <v>528</v>
      </c>
    </row>
    <row r="101" spans="1:1" ht="13" x14ac:dyDescent="0.15">
      <c r="A101" s="6" t="s">
        <v>159</v>
      </c>
    </row>
    <row r="102" spans="1:1" ht="13" x14ac:dyDescent="0.15">
      <c r="A102" s="6" t="s">
        <v>170</v>
      </c>
    </row>
    <row r="103" spans="1:1" ht="13" x14ac:dyDescent="0.15">
      <c r="A103" s="6" t="s">
        <v>145</v>
      </c>
    </row>
    <row r="105" spans="1:1" ht="13" x14ac:dyDescent="0.15">
      <c r="A105" s="6" t="s">
        <v>476</v>
      </c>
    </row>
    <row r="106" spans="1:1" ht="13" x14ac:dyDescent="0.15">
      <c r="A106" s="6" t="s">
        <v>528</v>
      </c>
    </row>
    <row r="107" spans="1:1" ht="13" x14ac:dyDescent="0.15">
      <c r="A107" s="6" t="s">
        <v>159</v>
      </c>
    </row>
    <row r="108" spans="1:1" ht="13" x14ac:dyDescent="0.15">
      <c r="A108" s="6" t="s">
        <v>529</v>
      </c>
    </row>
    <row r="109" spans="1:1" ht="13" x14ac:dyDescent="0.15">
      <c r="A109" s="6" t="s">
        <v>530</v>
      </c>
    </row>
    <row r="111" spans="1:1" ht="13" x14ac:dyDescent="0.15">
      <c r="A111" s="6" t="s">
        <v>479</v>
      </c>
    </row>
    <row r="112" spans="1:1" ht="13" x14ac:dyDescent="0.15">
      <c r="A112" s="6" t="s">
        <v>528</v>
      </c>
    </row>
    <row r="113" spans="1:1" ht="13" x14ac:dyDescent="0.15">
      <c r="A113" s="6" t="s">
        <v>159</v>
      </c>
    </row>
    <row r="114" spans="1:1" ht="13" x14ac:dyDescent="0.15">
      <c r="A114" s="6" t="s">
        <v>531</v>
      </c>
    </row>
    <row r="115" spans="1:1" ht="13" x14ac:dyDescent="0.15">
      <c r="A115" s="6" t="s">
        <v>298</v>
      </c>
    </row>
    <row r="117" spans="1:1" ht="13" x14ac:dyDescent="0.15">
      <c r="A117" s="6" t="s">
        <v>482</v>
      </c>
    </row>
    <row r="118" spans="1:1" ht="13" x14ac:dyDescent="0.15">
      <c r="A118" s="6" t="s">
        <v>528</v>
      </c>
    </row>
    <row r="119" spans="1:1" ht="13" x14ac:dyDescent="0.15">
      <c r="A119" s="6" t="s">
        <v>159</v>
      </c>
    </row>
    <row r="120" spans="1:1" ht="13" x14ac:dyDescent="0.15">
      <c r="A120" s="6" t="s">
        <v>532</v>
      </c>
    </row>
    <row r="121" spans="1:1" ht="13" x14ac:dyDescent="0.15">
      <c r="A121" s="6" t="s">
        <v>533</v>
      </c>
    </row>
    <row r="123" spans="1:1" ht="13" x14ac:dyDescent="0.15">
      <c r="A123" s="6" t="s">
        <v>484</v>
      </c>
    </row>
    <row r="124" spans="1:1" ht="13" x14ac:dyDescent="0.15">
      <c r="A124" s="6" t="s">
        <v>534</v>
      </c>
    </row>
    <row r="125" spans="1:1" ht="13" x14ac:dyDescent="0.15">
      <c r="A125" s="6" t="s">
        <v>178</v>
      </c>
    </row>
    <row r="126" spans="1:1" ht="13" x14ac:dyDescent="0.15">
      <c r="A126" s="6" t="s">
        <v>181</v>
      </c>
    </row>
    <row r="127" spans="1:1" ht="13" x14ac:dyDescent="0.15">
      <c r="A127" s="6" t="s">
        <v>182</v>
      </c>
    </row>
    <row r="129" spans="1:1" ht="13" x14ac:dyDescent="0.15">
      <c r="A129" s="6" t="s">
        <v>489</v>
      </c>
    </row>
    <row r="130" spans="1:1" ht="13" x14ac:dyDescent="0.15">
      <c r="A130" s="6" t="s">
        <v>534</v>
      </c>
    </row>
    <row r="131" spans="1:1" ht="13" x14ac:dyDescent="0.15">
      <c r="A131" s="6" t="s">
        <v>178</v>
      </c>
    </row>
    <row r="132" spans="1:1" ht="13" x14ac:dyDescent="0.15">
      <c r="A132" s="6" t="s">
        <v>189</v>
      </c>
    </row>
    <row r="133" spans="1:1" ht="13" x14ac:dyDescent="0.15">
      <c r="A133" s="6" t="s">
        <v>535</v>
      </c>
    </row>
    <row r="135" spans="1:1" ht="13" x14ac:dyDescent="0.15">
      <c r="A135" s="6" t="s">
        <v>493</v>
      </c>
    </row>
    <row r="136" spans="1:1" ht="13" x14ac:dyDescent="0.15">
      <c r="A136" s="6" t="s">
        <v>534</v>
      </c>
    </row>
    <row r="137" spans="1:1" ht="13" x14ac:dyDescent="0.15">
      <c r="A137" s="6" t="s">
        <v>178</v>
      </c>
    </row>
    <row r="138" spans="1:1" ht="13" x14ac:dyDescent="0.15">
      <c r="A138" s="6" t="s">
        <v>536</v>
      </c>
    </row>
    <row r="139" spans="1:1" ht="13" x14ac:dyDescent="0.15">
      <c r="A139" s="6" t="s">
        <v>537</v>
      </c>
    </row>
    <row r="141" spans="1:1" ht="13" x14ac:dyDescent="0.15">
      <c r="A141" s="6" t="s">
        <v>496</v>
      </c>
    </row>
    <row r="142" spans="1:1" ht="13" x14ac:dyDescent="0.15">
      <c r="A142" s="6" t="s">
        <v>538</v>
      </c>
    </row>
    <row r="143" spans="1:1" ht="13" x14ac:dyDescent="0.15">
      <c r="A143" s="6" t="s">
        <v>184</v>
      </c>
    </row>
    <row r="144" spans="1:1" ht="13" x14ac:dyDescent="0.15">
      <c r="A144" s="6" t="s">
        <v>539</v>
      </c>
    </row>
    <row r="145" spans="1:1" ht="13" x14ac:dyDescent="0.15">
      <c r="A145" s="6" t="s">
        <v>535</v>
      </c>
    </row>
    <row r="147" spans="1:1" ht="13" x14ac:dyDescent="0.15">
      <c r="A147" s="6" t="s">
        <v>499</v>
      </c>
    </row>
    <row r="148" spans="1:1" ht="13" x14ac:dyDescent="0.15">
      <c r="A148" s="6" t="s">
        <v>538</v>
      </c>
    </row>
    <row r="149" spans="1:1" ht="13" x14ac:dyDescent="0.15">
      <c r="A149" s="6" t="s">
        <v>184</v>
      </c>
    </row>
    <row r="150" spans="1:1" ht="13" x14ac:dyDescent="0.15">
      <c r="A150" s="6" t="s">
        <v>540</v>
      </c>
    </row>
    <row r="151" spans="1:1" ht="13" x14ac:dyDescent="0.15">
      <c r="A151" s="6" t="s">
        <v>541</v>
      </c>
    </row>
    <row r="153" spans="1:1" ht="13" x14ac:dyDescent="0.15">
      <c r="A153" s="6" t="s">
        <v>502</v>
      </c>
    </row>
    <row r="154" spans="1:1" ht="13" x14ac:dyDescent="0.15">
      <c r="A154" s="6" t="s">
        <v>542</v>
      </c>
    </row>
    <row r="155" spans="1:1" ht="13" x14ac:dyDescent="0.15">
      <c r="A155" s="6" t="s">
        <v>191</v>
      </c>
    </row>
    <row r="156" spans="1:1" ht="13" x14ac:dyDescent="0.15">
      <c r="A156" s="6" t="s">
        <v>531</v>
      </c>
    </row>
    <row r="157" spans="1:1" ht="13" x14ac:dyDescent="0.15">
      <c r="A157" s="6" t="s">
        <v>301</v>
      </c>
    </row>
    <row r="159" spans="1:1" ht="13" x14ac:dyDescent="0.15">
      <c r="A159" s="6" t="s">
        <v>506</v>
      </c>
    </row>
    <row r="160" spans="1:1" ht="13" x14ac:dyDescent="0.15">
      <c r="A160" s="6" t="s">
        <v>542</v>
      </c>
    </row>
    <row r="161" spans="1:1" ht="13" x14ac:dyDescent="0.15">
      <c r="A161" s="6" t="s">
        <v>191</v>
      </c>
    </row>
    <row r="162" spans="1:1" ht="13" x14ac:dyDescent="0.15">
      <c r="A162" s="6" t="s">
        <v>543</v>
      </c>
    </row>
    <row r="163" spans="1:1" ht="13" x14ac:dyDescent="0.15">
      <c r="A163" s="6" t="s">
        <v>544</v>
      </c>
    </row>
    <row r="165" spans="1:1" ht="13" x14ac:dyDescent="0.15">
      <c r="A165" s="6" t="s">
        <v>508</v>
      </c>
    </row>
    <row r="166" spans="1:1" ht="13" x14ac:dyDescent="0.15">
      <c r="A166" s="6" t="s">
        <v>542</v>
      </c>
    </row>
    <row r="167" spans="1:1" ht="13" x14ac:dyDescent="0.15">
      <c r="A167" s="6" t="s">
        <v>191</v>
      </c>
    </row>
    <row r="168" spans="1:1" ht="13" x14ac:dyDescent="0.15">
      <c r="A168" s="6" t="s">
        <v>545</v>
      </c>
    </row>
    <row r="169" spans="1:1" ht="13" x14ac:dyDescent="0.15">
      <c r="A169" s="6" t="s">
        <v>525</v>
      </c>
    </row>
    <row r="171" spans="1:1" ht="13" x14ac:dyDescent="0.15">
      <c r="A171" s="6" t="s">
        <v>510</v>
      </c>
    </row>
    <row r="172" spans="1:1" ht="13" x14ac:dyDescent="0.15">
      <c r="A172" s="6" t="s">
        <v>546</v>
      </c>
    </row>
    <row r="173" spans="1:1" ht="13" x14ac:dyDescent="0.15">
      <c r="A173" s="6" t="s">
        <v>193</v>
      </c>
    </row>
    <row r="174" spans="1:1" ht="13" x14ac:dyDescent="0.15">
      <c r="A174" s="6" t="s">
        <v>150</v>
      </c>
    </row>
    <row r="175" spans="1:1" ht="13" x14ac:dyDescent="0.15">
      <c r="A175" s="6" t="s">
        <v>547</v>
      </c>
    </row>
    <row r="177" spans="1:1" ht="13" x14ac:dyDescent="0.15">
      <c r="A177" s="6" t="s">
        <v>441</v>
      </c>
    </row>
    <row r="178" spans="1:1" ht="13" x14ac:dyDescent="0.15">
      <c r="A178" s="6" t="s">
        <v>130</v>
      </c>
    </row>
    <row r="179" spans="1:1" ht="13" x14ac:dyDescent="0.15">
      <c r="A179" s="6" t="s">
        <v>548</v>
      </c>
    </row>
    <row r="180" spans="1:1" ht="13" x14ac:dyDescent="0.15">
      <c r="A180" s="6" t="s">
        <v>170</v>
      </c>
    </row>
    <row r="181" spans="1:1" ht="13" x14ac:dyDescent="0.15">
      <c r="A181" s="6" t="s">
        <v>298</v>
      </c>
    </row>
    <row r="183" spans="1:1" ht="13" x14ac:dyDescent="0.15">
      <c r="A183" s="6" t="s">
        <v>448</v>
      </c>
    </row>
    <row r="184" spans="1:1" ht="13" x14ac:dyDescent="0.15">
      <c r="A184" s="6" t="s">
        <v>132</v>
      </c>
    </row>
    <row r="185" spans="1:1" ht="13" x14ac:dyDescent="0.15">
      <c r="A185" s="6" t="s">
        <v>304</v>
      </c>
    </row>
    <row r="186" spans="1:1" ht="13" x14ac:dyDescent="0.15">
      <c r="A186" s="6" t="s">
        <v>194</v>
      </c>
    </row>
    <row r="187" spans="1:1" ht="13" x14ac:dyDescent="0.15">
      <c r="A187" s="6" t="s">
        <v>145</v>
      </c>
    </row>
    <row r="189" spans="1:1" ht="13" x14ac:dyDescent="0.15">
      <c r="A189" s="6" t="s">
        <v>454</v>
      </c>
    </row>
    <row r="190" spans="1:1" ht="13" x14ac:dyDescent="0.15">
      <c r="A190" s="6" t="s">
        <v>132</v>
      </c>
    </row>
    <row r="191" spans="1:1" ht="13" x14ac:dyDescent="0.15">
      <c r="A191" s="6" t="s">
        <v>309</v>
      </c>
    </row>
    <row r="192" spans="1:1" ht="13" x14ac:dyDescent="0.15">
      <c r="A192" s="6" t="s">
        <v>313</v>
      </c>
    </row>
    <row r="193" spans="1:1" ht="13" x14ac:dyDescent="0.15">
      <c r="A193" s="6" t="s">
        <v>145</v>
      </c>
    </row>
    <row r="195" spans="1:1" ht="13" x14ac:dyDescent="0.15">
      <c r="A195" s="6" t="s">
        <v>442</v>
      </c>
    </row>
    <row r="196" spans="1:1" ht="13" x14ac:dyDescent="0.15">
      <c r="A196" s="6" t="s">
        <v>132</v>
      </c>
    </row>
    <row r="197" spans="1:1" ht="13" x14ac:dyDescent="0.15">
      <c r="A197" s="6" t="s">
        <v>418</v>
      </c>
    </row>
    <row r="198" spans="1:1" ht="13" x14ac:dyDescent="0.15">
      <c r="A198" s="6" t="s">
        <v>421</v>
      </c>
    </row>
    <row r="199" spans="1:1" ht="13" x14ac:dyDescent="0.15">
      <c r="A199" s="6" t="s">
        <v>145</v>
      </c>
    </row>
    <row r="201" spans="1:1" ht="13" x14ac:dyDescent="0.15">
      <c r="A201" s="6" t="s">
        <v>460</v>
      </c>
    </row>
    <row r="202" spans="1:1" ht="13" x14ac:dyDescent="0.15">
      <c r="A202" s="6" t="s">
        <v>549</v>
      </c>
    </row>
    <row r="203" spans="1:1" ht="13" x14ac:dyDescent="0.15">
      <c r="A203" s="6" t="s">
        <v>296</v>
      </c>
    </row>
    <row r="204" spans="1:1" ht="13" x14ac:dyDescent="0.15">
      <c r="A204" s="6" t="s">
        <v>297</v>
      </c>
    </row>
    <row r="205" spans="1:1" ht="13" x14ac:dyDescent="0.15">
      <c r="A205" s="6" t="s">
        <v>298</v>
      </c>
    </row>
    <row r="207" spans="1:1" ht="13" x14ac:dyDescent="0.15">
      <c r="A207" s="6" t="s">
        <v>465</v>
      </c>
    </row>
    <row r="208" spans="1:1" ht="13" x14ac:dyDescent="0.15">
      <c r="A208" s="6" t="s">
        <v>550</v>
      </c>
    </row>
    <row r="209" spans="1:1" ht="13" x14ac:dyDescent="0.15">
      <c r="A209" s="6" t="s">
        <v>300</v>
      </c>
    </row>
    <row r="210" spans="1:1" ht="13" x14ac:dyDescent="0.15">
      <c r="A210" s="6" t="s">
        <v>142</v>
      </c>
    </row>
    <row r="211" spans="1:1" ht="13" x14ac:dyDescent="0.15">
      <c r="A211" s="6" t="s">
        <v>301</v>
      </c>
    </row>
    <row r="213" spans="1:1" ht="13" x14ac:dyDescent="0.15">
      <c r="A213" s="6" t="s">
        <v>468</v>
      </c>
    </row>
    <row r="214" spans="1:1" ht="13" x14ac:dyDescent="0.15">
      <c r="A214" s="6" t="s">
        <v>550</v>
      </c>
    </row>
    <row r="215" spans="1:1" ht="13" x14ac:dyDescent="0.15">
      <c r="A215" s="6" t="s">
        <v>300</v>
      </c>
    </row>
    <row r="216" spans="1:1" ht="13" x14ac:dyDescent="0.15">
      <c r="A216" s="6" t="s">
        <v>167</v>
      </c>
    </row>
    <row r="217" spans="1:1" ht="13" x14ac:dyDescent="0.15">
      <c r="A217" s="6" t="s">
        <v>298</v>
      </c>
    </row>
    <row r="219" spans="1:1" ht="13" x14ac:dyDescent="0.15">
      <c r="A219" s="6" t="s">
        <v>471</v>
      </c>
    </row>
    <row r="220" spans="1:1" ht="13" x14ac:dyDescent="0.15">
      <c r="A220" s="6" t="s">
        <v>550</v>
      </c>
    </row>
    <row r="221" spans="1:1" ht="13" x14ac:dyDescent="0.15">
      <c r="A221" s="6" t="s">
        <v>300</v>
      </c>
    </row>
    <row r="222" spans="1:1" ht="13" x14ac:dyDescent="0.15">
      <c r="A222" s="6" t="s">
        <v>551</v>
      </c>
    </row>
    <row r="223" spans="1:1" ht="13" x14ac:dyDescent="0.15">
      <c r="A223" s="6" t="s">
        <v>552</v>
      </c>
    </row>
    <row r="225" spans="1:1" ht="13" x14ac:dyDescent="0.15">
      <c r="A225" s="6" t="s">
        <v>474</v>
      </c>
    </row>
    <row r="226" spans="1:1" ht="13" x14ac:dyDescent="0.15">
      <c r="A226" s="6" t="s">
        <v>553</v>
      </c>
    </row>
    <row r="227" spans="1:1" ht="13" x14ac:dyDescent="0.15">
      <c r="A227" s="6" t="s">
        <v>554</v>
      </c>
    </row>
    <row r="228" spans="1:1" ht="13" x14ac:dyDescent="0.15">
      <c r="A228" s="6" t="s">
        <v>555</v>
      </c>
    </row>
    <row r="229" spans="1:1" ht="13" x14ac:dyDescent="0.15">
      <c r="A229" s="6" t="s">
        <v>431</v>
      </c>
    </row>
    <row r="231" spans="1:1" ht="13" x14ac:dyDescent="0.15">
      <c r="A231" s="6" t="s">
        <v>477</v>
      </c>
    </row>
    <row r="232" spans="1:1" ht="13" x14ac:dyDescent="0.15">
      <c r="A232" s="6" t="s">
        <v>556</v>
      </c>
    </row>
    <row r="233" spans="1:1" ht="13" x14ac:dyDescent="0.15">
      <c r="A233" s="6" t="s">
        <v>557</v>
      </c>
    </row>
    <row r="234" spans="1:1" ht="13" x14ac:dyDescent="0.15">
      <c r="A234" s="6" t="s">
        <v>558</v>
      </c>
    </row>
    <row r="235" spans="1:1" ht="13" x14ac:dyDescent="0.15">
      <c r="A235" s="6" t="s">
        <v>525</v>
      </c>
    </row>
    <row r="237" spans="1:1" ht="13" x14ac:dyDescent="0.15">
      <c r="A237" s="6" t="s">
        <v>480</v>
      </c>
    </row>
    <row r="238" spans="1:1" ht="13" x14ac:dyDescent="0.15">
      <c r="A238" s="6" t="s">
        <v>559</v>
      </c>
    </row>
    <row r="239" spans="1:1" ht="13" x14ac:dyDescent="0.15">
      <c r="A239" s="6" t="s">
        <v>306</v>
      </c>
    </row>
    <row r="240" spans="1:1" ht="13" x14ac:dyDescent="0.15">
      <c r="A240" s="6" t="s">
        <v>142</v>
      </c>
    </row>
    <row r="241" spans="1:1" ht="13" x14ac:dyDescent="0.15">
      <c r="A241" s="6" t="s">
        <v>307</v>
      </c>
    </row>
    <row r="243" spans="1:1" ht="13" x14ac:dyDescent="0.15">
      <c r="A243" s="6" t="s">
        <v>483</v>
      </c>
    </row>
    <row r="244" spans="1:1" ht="13" x14ac:dyDescent="0.15">
      <c r="A244" s="6" t="s">
        <v>559</v>
      </c>
    </row>
    <row r="245" spans="1:1" ht="13" x14ac:dyDescent="0.15">
      <c r="A245" s="6" t="s">
        <v>306</v>
      </c>
    </row>
    <row r="246" spans="1:1" ht="13" x14ac:dyDescent="0.15">
      <c r="A246" s="6" t="s">
        <v>560</v>
      </c>
    </row>
    <row r="247" spans="1:1" ht="13" x14ac:dyDescent="0.15">
      <c r="A247" s="6" t="s">
        <v>535</v>
      </c>
    </row>
    <row r="249" spans="1:1" ht="13" x14ac:dyDescent="0.15">
      <c r="A249" s="6" t="s">
        <v>485</v>
      </c>
    </row>
    <row r="250" spans="1:1" ht="13" x14ac:dyDescent="0.15">
      <c r="A250" s="6" t="s">
        <v>559</v>
      </c>
    </row>
    <row r="251" spans="1:1" ht="13" x14ac:dyDescent="0.15">
      <c r="A251" s="6" t="s">
        <v>306</v>
      </c>
    </row>
    <row r="252" spans="1:1" ht="13" x14ac:dyDescent="0.15">
      <c r="A252" s="6" t="s">
        <v>532</v>
      </c>
    </row>
    <row r="253" spans="1:1" ht="13" x14ac:dyDescent="0.15">
      <c r="A253" s="6" t="s">
        <v>431</v>
      </c>
    </row>
    <row r="255" spans="1:1" ht="13" x14ac:dyDescent="0.15">
      <c r="A255" s="6" t="s">
        <v>490</v>
      </c>
    </row>
    <row r="256" spans="1:1" ht="13" x14ac:dyDescent="0.15">
      <c r="A256" s="6" t="s">
        <v>561</v>
      </c>
    </row>
    <row r="257" spans="1:1" ht="13" x14ac:dyDescent="0.15">
      <c r="A257" s="6" t="s">
        <v>309</v>
      </c>
    </row>
    <row r="258" spans="1:1" ht="13" x14ac:dyDescent="0.15">
      <c r="A258" s="6" t="s">
        <v>310</v>
      </c>
    </row>
    <row r="259" spans="1:1" ht="13" x14ac:dyDescent="0.15">
      <c r="A259" s="6" t="s">
        <v>311</v>
      </c>
    </row>
    <row r="261" spans="1:1" ht="13" x14ac:dyDescent="0.15">
      <c r="A261" s="6" t="s">
        <v>494</v>
      </c>
    </row>
    <row r="262" spans="1:1" ht="13" x14ac:dyDescent="0.15">
      <c r="A262" s="6" t="s">
        <v>562</v>
      </c>
    </row>
    <row r="263" spans="1:1" ht="13" x14ac:dyDescent="0.15">
      <c r="A263" s="6" t="s">
        <v>563</v>
      </c>
    </row>
    <row r="264" spans="1:1" ht="13" x14ac:dyDescent="0.15">
      <c r="A264" s="6" t="s">
        <v>531</v>
      </c>
    </row>
    <row r="265" spans="1:1" ht="13" x14ac:dyDescent="0.15">
      <c r="A265" s="6" t="s">
        <v>525</v>
      </c>
    </row>
    <row r="267" spans="1:1" ht="13" x14ac:dyDescent="0.15">
      <c r="A267" s="6" t="s">
        <v>563</v>
      </c>
    </row>
    <row r="268" spans="1:1" ht="13" x14ac:dyDescent="0.15">
      <c r="A268" s="6" t="s">
        <v>564</v>
      </c>
    </row>
    <row r="269" spans="1:1" ht="13" x14ac:dyDescent="0.15">
      <c r="A269" s="6" t="s">
        <v>525</v>
      </c>
    </row>
    <row r="271" spans="1:1" ht="13" x14ac:dyDescent="0.15">
      <c r="A271" s="6" t="s">
        <v>497</v>
      </c>
    </row>
    <row r="272" spans="1:1" ht="13" x14ac:dyDescent="0.15">
      <c r="A272" s="6" t="s">
        <v>562</v>
      </c>
    </row>
    <row r="273" spans="1:1" ht="13" x14ac:dyDescent="0.15">
      <c r="A273" s="6" t="s">
        <v>563</v>
      </c>
    </row>
    <row r="274" spans="1:1" ht="13" x14ac:dyDescent="0.15">
      <c r="A274" s="6" t="s">
        <v>565</v>
      </c>
    </row>
    <row r="275" spans="1:1" ht="13" x14ac:dyDescent="0.15">
      <c r="A275" s="6" t="s">
        <v>413</v>
      </c>
    </row>
    <row r="277" spans="1:1" ht="13" x14ac:dyDescent="0.15">
      <c r="A277" s="6" t="s">
        <v>500</v>
      </c>
    </row>
    <row r="278" spans="1:1" ht="13" x14ac:dyDescent="0.15">
      <c r="A278" s="6" t="s">
        <v>562</v>
      </c>
    </row>
    <row r="279" spans="1:1" ht="13" x14ac:dyDescent="0.15">
      <c r="A279" s="6" t="s">
        <v>563</v>
      </c>
    </row>
    <row r="280" spans="1:1" ht="13" x14ac:dyDescent="0.15">
      <c r="A280" s="6" t="s">
        <v>167</v>
      </c>
    </row>
    <row r="281" spans="1:1" ht="13" x14ac:dyDescent="0.15">
      <c r="A281" s="6" t="s">
        <v>427</v>
      </c>
    </row>
    <row r="283" spans="1:1" ht="13" x14ac:dyDescent="0.15">
      <c r="A283" s="6" t="s">
        <v>503</v>
      </c>
    </row>
    <row r="284" spans="1:1" ht="13" x14ac:dyDescent="0.15">
      <c r="A284" s="6" t="s">
        <v>562</v>
      </c>
    </row>
    <row r="285" spans="1:1" ht="13" x14ac:dyDescent="0.15">
      <c r="A285" s="6" t="s">
        <v>563</v>
      </c>
    </row>
    <row r="286" spans="1:1" ht="13" x14ac:dyDescent="0.15">
      <c r="A286" s="6" t="s">
        <v>566</v>
      </c>
    </row>
    <row r="287" spans="1:1" ht="13" x14ac:dyDescent="0.15">
      <c r="A287" s="6" t="s">
        <v>567</v>
      </c>
    </row>
    <row r="289" spans="1:1" ht="13" x14ac:dyDescent="0.15">
      <c r="A289" s="6" t="s">
        <v>507</v>
      </c>
    </row>
    <row r="290" spans="1:1" ht="13" x14ac:dyDescent="0.15">
      <c r="A290" s="6" t="s">
        <v>568</v>
      </c>
    </row>
    <row r="291" spans="1:1" ht="13" x14ac:dyDescent="0.15">
      <c r="A291" s="6" t="s">
        <v>569</v>
      </c>
    </row>
    <row r="292" spans="1:1" ht="13" x14ac:dyDescent="0.15">
      <c r="A292" s="6" t="s">
        <v>570</v>
      </c>
    </row>
    <row r="293" spans="1:1" ht="13" x14ac:dyDescent="0.15">
      <c r="A293" s="6" t="s">
        <v>424</v>
      </c>
    </row>
    <row r="295" spans="1:1" ht="13" x14ac:dyDescent="0.15">
      <c r="A295" s="6" t="s">
        <v>509</v>
      </c>
    </row>
    <row r="296" spans="1:1" ht="13" x14ac:dyDescent="0.15">
      <c r="A296" s="6" t="s">
        <v>568</v>
      </c>
    </row>
    <row r="297" spans="1:1" ht="13" x14ac:dyDescent="0.15">
      <c r="A297" s="6" t="s">
        <v>569</v>
      </c>
    </row>
    <row r="298" spans="1:1" ht="13" x14ac:dyDescent="0.15">
      <c r="A298" s="6" t="s">
        <v>194</v>
      </c>
    </row>
    <row r="299" spans="1:1" ht="13" x14ac:dyDescent="0.15">
      <c r="A299" s="6" t="s">
        <v>427</v>
      </c>
    </row>
    <row r="301" spans="1:1" ht="13" x14ac:dyDescent="0.15">
      <c r="A301" s="6" t="s">
        <v>449</v>
      </c>
    </row>
    <row r="302" spans="1:1" ht="13" x14ac:dyDescent="0.15">
      <c r="A302" s="6" t="s">
        <v>571</v>
      </c>
    </row>
    <row r="303" spans="1:1" ht="13" x14ac:dyDescent="0.15">
      <c r="A303" s="6" t="s">
        <v>409</v>
      </c>
    </row>
    <row r="304" spans="1:1" ht="13" x14ac:dyDescent="0.15">
      <c r="A304" s="6" t="s">
        <v>142</v>
      </c>
    </row>
    <row r="305" spans="1:1" ht="13" x14ac:dyDescent="0.15">
      <c r="A305" s="6" t="s">
        <v>410</v>
      </c>
    </row>
    <row r="307" spans="1:1" ht="13" x14ac:dyDescent="0.15">
      <c r="A307" s="6" t="s">
        <v>455</v>
      </c>
    </row>
    <row r="308" spans="1:1" ht="13" x14ac:dyDescent="0.15">
      <c r="A308" s="6" t="s">
        <v>572</v>
      </c>
    </row>
    <row r="309" spans="1:1" ht="13" x14ac:dyDescent="0.15">
      <c r="A309" s="6" t="s">
        <v>412</v>
      </c>
    </row>
    <row r="310" spans="1:1" ht="13" x14ac:dyDescent="0.15">
      <c r="A310" s="6" t="s">
        <v>142</v>
      </c>
    </row>
    <row r="311" spans="1:1" ht="13" x14ac:dyDescent="0.15">
      <c r="A311" s="6" t="s">
        <v>413</v>
      </c>
    </row>
    <row r="313" spans="1:1" ht="13" x14ac:dyDescent="0.15">
      <c r="A313" s="6" t="s">
        <v>461</v>
      </c>
    </row>
    <row r="314" spans="1:1" ht="13" x14ac:dyDescent="0.15">
      <c r="A314" s="6" t="s">
        <v>572</v>
      </c>
    </row>
    <row r="315" spans="1:1" ht="13" x14ac:dyDescent="0.15">
      <c r="A315" s="6" t="s">
        <v>412</v>
      </c>
    </row>
    <row r="316" spans="1:1" ht="13" x14ac:dyDescent="0.15">
      <c r="A316" s="6" t="s">
        <v>415</v>
      </c>
    </row>
    <row r="317" spans="1:1" ht="13" x14ac:dyDescent="0.15">
      <c r="A317" s="6" t="s">
        <v>416</v>
      </c>
    </row>
    <row r="319" spans="1:1" ht="13" x14ac:dyDescent="0.15">
      <c r="A319" s="6" t="s">
        <v>466</v>
      </c>
    </row>
    <row r="320" spans="1:1" ht="13" x14ac:dyDescent="0.15">
      <c r="A320" s="6" t="s">
        <v>573</v>
      </c>
    </row>
    <row r="321" spans="1:1" ht="13" x14ac:dyDescent="0.15">
      <c r="A321" s="6" t="s">
        <v>418</v>
      </c>
    </row>
    <row r="322" spans="1:1" ht="13" x14ac:dyDescent="0.15">
      <c r="A322" s="6" t="s">
        <v>419</v>
      </c>
    </row>
    <row r="323" spans="1:1" ht="13" x14ac:dyDescent="0.15">
      <c r="A323" s="6" t="s">
        <v>410</v>
      </c>
    </row>
    <row r="325" spans="1:1" ht="13" x14ac:dyDescent="0.15">
      <c r="A325" s="6" t="s">
        <v>418</v>
      </c>
    </row>
    <row r="326" spans="1:1" ht="13" x14ac:dyDescent="0.15">
      <c r="A326" s="6" t="s">
        <v>420</v>
      </c>
    </row>
    <row r="327" spans="1:1" ht="13" x14ac:dyDescent="0.15">
      <c r="A327" s="6" t="s">
        <v>410</v>
      </c>
    </row>
    <row r="329" spans="1:1" ht="13" x14ac:dyDescent="0.15">
      <c r="A329" s="6" t="s">
        <v>469</v>
      </c>
    </row>
    <row r="330" spans="1:1" ht="13" x14ac:dyDescent="0.15">
      <c r="A330" s="6" t="s">
        <v>574</v>
      </c>
    </row>
    <row r="331" spans="1:1" ht="13" x14ac:dyDescent="0.15">
      <c r="A331" s="6" t="s">
        <v>423</v>
      </c>
    </row>
    <row r="332" spans="1:1" ht="13" x14ac:dyDescent="0.15">
      <c r="A332" s="6" t="s">
        <v>419</v>
      </c>
    </row>
    <row r="333" spans="1:1" ht="13" x14ac:dyDescent="0.15">
      <c r="A333" s="6" t="s">
        <v>424</v>
      </c>
    </row>
    <row r="335" spans="1:1" ht="13" x14ac:dyDescent="0.15">
      <c r="A335" s="6" t="s">
        <v>472</v>
      </c>
    </row>
    <row r="336" spans="1:1" ht="13" x14ac:dyDescent="0.15">
      <c r="A336" s="6" t="s">
        <v>574</v>
      </c>
    </row>
    <row r="337" spans="1:1" ht="13" x14ac:dyDescent="0.15">
      <c r="A337" s="6" t="s">
        <v>423</v>
      </c>
    </row>
    <row r="338" spans="1:1" ht="13" x14ac:dyDescent="0.15">
      <c r="A338" s="6" t="s">
        <v>426</v>
      </c>
    </row>
    <row r="339" spans="1:1" ht="13" x14ac:dyDescent="0.15">
      <c r="A339" s="6" t="s">
        <v>427</v>
      </c>
    </row>
    <row r="341" spans="1:1" ht="13" x14ac:dyDescent="0.15">
      <c r="A341" s="6" t="s">
        <v>475</v>
      </c>
    </row>
    <row r="342" spans="1:1" ht="13" x14ac:dyDescent="0.15">
      <c r="A342" s="6" t="s">
        <v>575</v>
      </c>
    </row>
    <row r="343" spans="1:1" ht="13" x14ac:dyDescent="0.15">
      <c r="A343" s="6" t="s">
        <v>429</v>
      </c>
    </row>
    <row r="344" spans="1:1" ht="13" x14ac:dyDescent="0.15">
      <c r="A344" s="6" t="s">
        <v>430</v>
      </c>
    </row>
    <row r="345" spans="1:1" ht="13" x14ac:dyDescent="0.15">
      <c r="A345" s="6" t="s">
        <v>431</v>
      </c>
    </row>
    <row r="347" spans="1:1" ht="13" x14ac:dyDescent="0.15">
      <c r="A347" s="6" t="s">
        <v>478</v>
      </c>
    </row>
    <row r="348" spans="1:1" ht="13" x14ac:dyDescent="0.15">
      <c r="A348" s="6" t="s">
        <v>576</v>
      </c>
    </row>
    <row r="349" spans="1:1" ht="13" x14ac:dyDescent="0.15">
      <c r="A349" s="6" t="s">
        <v>432</v>
      </c>
    </row>
    <row r="350" spans="1:1" ht="13" x14ac:dyDescent="0.15">
      <c r="A350" s="6" t="s">
        <v>433</v>
      </c>
    </row>
    <row r="351" spans="1:1" ht="13" x14ac:dyDescent="0.15">
      <c r="A351" s="6" t="s">
        <v>431</v>
      </c>
    </row>
    <row r="353" spans="1:1" ht="13" x14ac:dyDescent="0.15">
      <c r="A353" s="6" t="s">
        <v>481</v>
      </c>
    </row>
    <row r="354" spans="1:1" ht="13" x14ac:dyDescent="0.15">
      <c r="A354" s="6" t="s">
        <v>577</v>
      </c>
    </row>
    <row r="355" spans="1:1" ht="13" x14ac:dyDescent="0.15">
      <c r="A355" s="6" t="s">
        <v>435</v>
      </c>
    </row>
    <row r="356" spans="1:1" ht="13" x14ac:dyDescent="0.15">
      <c r="A356" s="6" t="s">
        <v>436</v>
      </c>
    </row>
    <row r="357" spans="1:1" ht="13" x14ac:dyDescent="0.15">
      <c r="A357" s="6" t="s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17"/>
  <sheetViews>
    <sheetView workbookViewId="0"/>
  </sheetViews>
  <sheetFormatPr baseColWidth="10" defaultColWidth="12.6640625" defaultRowHeight="15.75" customHeight="1" x14ac:dyDescent="0.15"/>
  <cols>
    <col min="2" max="2" width="33.6640625" customWidth="1"/>
    <col min="3" max="3" width="34.1640625" customWidth="1"/>
  </cols>
  <sheetData>
    <row r="1" spans="1:6" ht="15.75" customHeight="1" x14ac:dyDescent="0.15">
      <c r="B1" s="6" t="s">
        <v>578</v>
      </c>
      <c r="C1" s="6" t="s">
        <v>579</v>
      </c>
      <c r="D1" s="6" t="s">
        <v>580</v>
      </c>
    </row>
    <row r="2" spans="1:6" ht="15.75" customHeight="1" x14ac:dyDescent="0.15">
      <c r="B2" s="6" t="s">
        <v>581</v>
      </c>
      <c r="C2" s="6" t="s">
        <v>582</v>
      </c>
    </row>
    <row r="3" spans="1:6" ht="15.75" customHeight="1" x14ac:dyDescent="0.15">
      <c r="B3" s="6" t="s">
        <v>583</v>
      </c>
      <c r="C3" s="6" t="s">
        <v>584</v>
      </c>
    </row>
    <row r="4" spans="1:6" ht="15.75" customHeight="1" x14ac:dyDescent="0.15">
      <c r="B4" s="6" t="s">
        <v>585</v>
      </c>
      <c r="C4" s="6" t="s">
        <v>586</v>
      </c>
    </row>
    <row r="5" spans="1:6" ht="15.75" customHeight="1" x14ac:dyDescent="0.15">
      <c r="B5" s="6" t="s">
        <v>587</v>
      </c>
      <c r="C5" s="6" t="s">
        <v>588</v>
      </c>
    </row>
    <row r="6" spans="1:6" ht="15.75" customHeight="1" x14ac:dyDescent="0.15">
      <c r="B6" s="6" t="s">
        <v>589</v>
      </c>
      <c r="C6" s="6" t="s">
        <v>590</v>
      </c>
    </row>
    <row r="7" spans="1:6" ht="15.75" customHeight="1" x14ac:dyDescent="0.15">
      <c r="B7" s="6" t="s">
        <v>591</v>
      </c>
      <c r="C7" s="6" t="s">
        <v>592</v>
      </c>
    </row>
    <row r="8" spans="1:6" ht="15.75" customHeight="1" x14ac:dyDescent="0.15">
      <c r="B8" s="6" t="s">
        <v>593</v>
      </c>
      <c r="C8" s="6" t="s">
        <v>594</v>
      </c>
    </row>
    <row r="9" spans="1:6" ht="15.75" customHeight="1" x14ac:dyDescent="0.15">
      <c r="B9" s="6" t="s">
        <v>595</v>
      </c>
    </row>
    <row r="13" spans="1:6" ht="15.75" customHeight="1" x14ac:dyDescent="0.15">
      <c r="A13" s="6" t="s">
        <v>443</v>
      </c>
      <c r="B13" s="6" t="s">
        <v>511</v>
      </c>
      <c r="C13" s="6" t="s">
        <v>512</v>
      </c>
      <c r="D13" s="6" t="s">
        <v>513</v>
      </c>
      <c r="E13" s="6" t="s">
        <v>514</v>
      </c>
    </row>
    <row r="14" spans="1:6" ht="15.75" customHeight="1" x14ac:dyDescent="0.15">
      <c r="A14" s="13" t="s">
        <v>456</v>
      </c>
      <c r="B14" s="29">
        <v>98</v>
      </c>
      <c r="C14" s="29">
        <v>472</v>
      </c>
      <c r="D14" s="29">
        <v>569</v>
      </c>
      <c r="E14" s="29">
        <v>55</v>
      </c>
      <c r="F14" s="6" t="s">
        <v>463</v>
      </c>
    </row>
    <row r="15" spans="1:6" ht="15.75" customHeight="1" x14ac:dyDescent="0.15">
      <c r="A15" s="37" t="s">
        <v>206</v>
      </c>
      <c r="B15" s="38">
        <v>82</v>
      </c>
      <c r="C15" s="38">
        <v>150</v>
      </c>
      <c r="D15" s="38">
        <v>231</v>
      </c>
      <c r="E15" s="38" t="s">
        <v>211</v>
      </c>
      <c r="F15" s="6" t="s">
        <v>463</v>
      </c>
    </row>
    <row r="16" spans="1:6" ht="15.75" customHeight="1" x14ac:dyDescent="0.15">
      <c r="A16" s="32" t="s">
        <v>451</v>
      </c>
      <c r="B16" s="33">
        <v>88</v>
      </c>
      <c r="C16" s="33">
        <v>256</v>
      </c>
      <c r="D16" s="33">
        <v>343</v>
      </c>
      <c r="E16" s="33" t="s">
        <v>515</v>
      </c>
      <c r="F16" s="12" t="s">
        <v>505</v>
      </c>
    </row>
    <row r="17" spans="1:6" ht="15.75" customHeight="1" x14ac:dyDescent="0.15">
      <c r="A17" s="39" t="s">
        <v>258</v>
      </c>
      <c r="B17" s="33">
        <v>89</v>
      </c>
      <c r="C17" s="33">
        <v>948</v>
      </c>
      <c r="D17" s="33">
        <v>1036</v>
      </c>
      <c r="E17" s="33"/>
      <c r="F17" s="39" t="s">
        <v>505</v>
      </c>
    </row>
    <row r="18" spans="1:6" ht="15.75" customHeight="1" x14ac:dyDescent="0.15">
      <c r="A18" s="32" t="s">
        <v>462</v>
      </c>
      <c r="B18" s="33"/>
      <c r="C18" s="33"/>
      <c r="D18" s="35"/>
      <c r="E18" s="33"/>
      <c r="F18" s="12" t="s">
        <v>505</v>
      </c>
    </row>
    <row r="19" spans="1:6" ht="15.75" customHeight="1" x14ac:dyDescent="0.15">
      <c r="A19" s="6"/>
      <c r="B19" s="8"/>
      <c r="C19" s="34"/>
      <c r="D19" s="8"/>
      <c r="E19" s="8"/>
    </row>
    <row r="20" spans="1:6" ht="15.75" customHeight="1" x14ac:dyDescent="0.15">
      <c r="A20" s="6" t="s">
        <v>444</v>
      </c>
      <c r="B20" s="8"/>
      <c r="C20" s="34"/>
      <c r="D20" s="8"/>
      <c r="E20" s="8"/>
    </row>
    <row r="21" spans="1:6" ht="15.75" customHeight="1" x14ac:dyDescent="0.15">
      <c r="A21" s="13" t="s">
        <v>46</v>
      </c>
      <c r="B21" s="29">
        <v>120</v>
      </c>
      <c r="C21" s="29">
        <v>972</v>
      </c>
      <c r="D21" s="29">
        <v>1091</v>
      </c>
      <c r="E21" s="29">
        <v>50</v>
      </c>
      <c r="F21" s="6" t="s">
        <v>463</v>
      </c>
    </row>
    <row r="22" spans="1:6" ht="15.75" customHeight="1" x14ac:dyDescent="0.15">
      <c r="A22" s="13" t="s">
        <v>452</v>
      </c>
      <c r="B22" s="29">
        <v>101</v>
      </c>
      <c r="C22" s="29">
        <v>681</v>
      </c>
      <c r="D22" s="29">
        <v>781</v>
      </c>
      <c r="E22" s="29">
        <v>55</v>
      </c>
      <c r="F22" s="6" t="s">
        <v>516</v>
      </c>
    </row>
    <row r="23" spans="1:6" ht="15.75" customHeight="1" x14ac:dyDescent="0.15">
      <c r="A23" s="32" t="s">
        <v>36</v>
      </c>
      <c r="B23" s="40">
        <v>95</v>
      </c>
      <c r="C23" s="33">
        <v>1090</v>
      </c>
      <c r="D23" s="33">
        <v>1184</v>
      </c>
      <c r="E23" s="33">
        <v>55</v>
      </c>
      <c r="F23" s="12" t="s">
        <v>463</v>
      </c>
    </row>
    <row r="24" spans="1:6" ht="15.75" customHeight="1" x14ac:dyDescent="0.15">
      <c r="A24" s="32" t="s">
        <v>196</v>
      </c>
      <c r="B24" s="33">
        <v>95</v>
      </c>
      <c r="C24" s="33">
        <v>909</v>
      </c>
      <c r="D24" s="33">
        <v>1003</v>
      </c>
      <c r="E24" s="33">
        <v>55</v>
      </c>
      <c r="F24" s="12" t="s">
        <v>505</v>
      </c>
    </row>
    <row r="25" spans="1:6" ht="15.75" customHeight="1" x14ac:dyDescent="0.15">
      <c r="A25" s="6"/>
      <c r="B25" s="8"/>
      <c r="C25" s="8"/>
      <c r="D25" s="8"/>
      <c r="E25" s="8"/>
    </row>
    <row r="26" spans="1:6" ht="15.75" customHeight="1" x14ac:dyDescent="0.15">
      <c r="A26" s="6" t="s">
        <v>445</v>
      </c>
      <c r="B26" s="8"/>
      <c r="C26" s="8"/>
      <c r="D26" s="8"/>
      <c r="E26" s="8"/>
    </row>
    <row r="27" spans="1:6" ht="15.75" customHeight="1" x14ac:dyDescent="0.15">
      <c r="A27" s="32" t="s">
        <v>17</v>
      </c>
      <c r="B27" s="40">
        <v>104</v>
      </c>
      <c r="C27" s="33">
        <v>662</v>
      </c>
      <c r="D27" s="33">
        <v>765</v>
      </c>
      <c r="E27" s="33">
        <v>55</v>
      </c>
      <c r="F27" s="12" t="s">
        <v>450</v>
      </c>
    </row>
    <row r="28" spans="1:6" ht="15.75" customHeight="1" x14ac:dyDescent="0.15">
      <c r="A28" s="32" t="s">
        <v>452</v>
      </c>
      <c r="B28" s="33">
        <v>101</v>
      </c>
      <c r="C28" s="33">
        <v>681</v>
      </c>
      <c r="D28" s="33">
        <v>781</v>
      </c>
      <c r="E28" s="33">
        <v>55</v>
      </c>
      <c r="F28" s="12" t="s">
        <v>505</v>
      </c>
    </row>
    <row r="31" spans="1:6" ht="15.75" customHeight="1" x14ac:dyDescent="0.15">
      <c r="A31" s="6" t="s">
        <v>57</v>
      </c>
      <c r="B31" s="6">
        <v>88</v>
      </c>
      <c r="C31" s="6">
        <v>611</v>
      </c>
      <c r="D31" s="6">
        <v>698</v>
      </c>
    </row>
    <row r="32" spans="1:6" ht="15.75" customHeight="1" x14ac:dyDescent="0.15">
      <c r="A32" s="6" t="s">
        <v>253</v>
      </c>
      <c r="B32" s="6">
        <v>104</v>
      </c>
      <c r="C32" s="6">
        <v>432</v>
      </c>
      <c r="D32" s="6">
        <v>535</v>
      </c>
      <c r="F32" s="6" t="s">
        <v>463</v>
      </c>
    </row>
    <row r="93" spans="1:1" ht="13" x14ac:dyDescent="0.15">
      <c r="A93" s="6" t="s">
        <v>134</v>
      </c>
    </row>
    <row r="95" spans="1:1" ht="13" x14ac:dyDescent="0.15">
      <c r="A95" s="6" t="s">
        <v>581</v>
      </c>
    </row>
    <row r="96" spans="1:1" ht="13" x14ac:dyDescent="0.15">
      <c r="A96" s="6" t="s">
        <v>596</v>
      </c>
    </row>
    <row r="97" spans="1:1" ht="13" x14ac:dyDescent="0.15">
      <c r="A97" s="6" t="s">
        <v>597</v>
      </c>
    </row>
    <row r="98" spans="1:1" ht="13" x14ac:dyDescent="0.15">
      <c r="A98" s="6" t="s">
        <v>598</v>
      </c>
    </row>
    <row r="100" spans="1:1" ht="13" x14ac:dyDescent="0.15">
      <c r="A100" s="6" t="s">
        <v>583</v>
      </c>
    </row>
    <row r="101" spans="1:1" ht="13" x14ac:dyDescent="0.15">
      <c r="A101" s="6" t="s">
        <v>599</v>
      </c>
    </row>
    <row r="102" spans="1:1" ht="13" x14ac:dyDescent="0.15">
      <c r="A102" s="6" t="s">
        <v>194</v>
      </c>
    </row>
    <row r="103" spans="1:1" ht="13" x14ac:dyDescent="0.15">
      <c r="A103" s="6" t="s">
        <v>600</v>
      </c>
    </row>
    <row r="105" spans="1:1" ht="13" x14ac:dyDescent="0.15">
      <c r="A105" s="6" t="s">
        <v>582</v>
      </c>
    </row>
    <row r="106" spans="1:1" ht="13" x14ac:dyDescent="0.15">
      <c r="A106" s="6" t="s">
        <v>601</v>
      </c>
    </row>
    <row r="107" spans="1:1" ht="13" x14ac:dyDescent="0.15">
      <c r="A107" s="6" t="s">
        <v>602</v>
      </c>
    </row>
    <row r="108" spans="1:1" ht="13" x14ac:dyDescent="0.15">
      <c r="A108" s="6" t="s">
        <v>603</v>
      </c>
    </row>
    <row r="111" spans="1:1" ht="13" x14ac:dyDescent="0.15">
      <c r="A111" s="6" t="s">
        <v>139</v>
      </c>
    </row>
    <row r="113" spans="1:1" ht="13" x14ac:dyDescent="0.15">
      <c r="A113" s="6" t="s">
        <v>585</v>
      </c>
    </row>
    <row r="114" spans="1:1" ht="13" x14ac:dyDescent="0.15">
      <c r="A114" s="6" t="s">
        <v>604</v>
      </c>
    </row>
    <row r="115" spans="1:1" ht="13" x14ac:dyDescent="0.15">
      <c r="A115" s="6" t="s">
        <v>172</v>
      </c>
    </row>
    <row r="116" spans="1:1" ht="13" x14ac:dyDescent="0.15">
      <c r="A116" s="6" t="s">
        <v>156</v>
      </c>
    </row>
    <row r="117" spans="1:1" ht="13" x14ac:dyDescent="0.15">
      <c r="A117" s="6" t="s">
        <v>605</v>
      </c>
    </row>
    <row r="119" spans="1:1" ht="13" x14ac:dyDescent="0.15">
      <c r="A119" s="6" t="s">
        <v>606</v>
      </c>
    </row>
    <row r="120" spans="1:1" ht="13" x14ac:dyDescent="0.15">
      <c r="A120" s="6" t="s">
        <v>604</v>
      </c>
    </row>
    <row r="121" spans="1:1" ht="13" x14ac:dyDescent="0.15">
      <c r="A121" s="6" t="s">
        <v>172</v>
      </c>
    </row>
    <row r="122" spans="1:1" ht="13" x14ac:dyDescent="0.15">
      <c r="A122" s="6" t="s">
        <v>607</v>
      </c>
    </row>
    <row r="123" spans="1:1" ht="13" x14ac:dyDescent="0.15">
      <c r="A123" s="6" t="s">
        <v>598</v>
      </c>
    </row>
    <row r="125" spans="1:1" ht="13" x14ac:dyDescent="0.15">
      <c r="A125" s="6" t="s">
        <v>608</v>
      </c>
    </row>
    <row r="126" spans="1:1" ht="13" x14ac:dyDescent="0.15">
      <c r="A126" s="6" t="s">
        <v>604</v>
      </c>
    </row>
    <row r="127" spans="1:1" ht="13" x14ac:dyDescent="0.15">
      <c r="A127" s="6" t="s">
        <v>172</v>
      </c>
    </row>
    <row r="128" spans="1:1" ht="13" x14ac:dyDescent="0.15">
      <c r="A128" s="6" t="s">
        <v>609</v>
      </c>
    </row>
    <row r="129" spans="1:1" ht="13" x14ac:dyDescent="0.15">
      <c r="A129" s="6" t="s">
        <v>600</v>
      </c>
    </row>
    <row r="131" spans="1:1" ht="13" x14ac:dyDescent="0.15">
      <c r="A131" s="6" t="s">
        <v>587</v>
      </c>
    </row>
    <row r="132" spans="1:1" ht="13" x14ac:dyDescent="0.15">
      <c r="A132" s="6" t="s">
        <v>610</v>
      </c>
    </row>
    <row r="133" spans="1:1" ht="13" x14ac:dyDescent="0.15">
      <c r="A133" s="6" t="s">
        <v>611</v>
      </c>
    </row>
    <row r="134" spans="1:1" ht="13" x14ac:dyDescent="0.15">
      <c r="A134" s="6" t="s">
        <v>612</v>
      </c>
    </row>
    <row r="135" spans="1:1" ht="13" x14ac:dyDescent="0.15">
      <c r="A135" s="6" t="s">
        <v>613</v>
      </c>
    </row>
    <row r="137" spans="1:1" ht="13" x14ac:dyDescent="0.15">
      <c r="A137" s="6" t="s">
        <v>589</v>
      </c>
    </row>
    <row r="138" spans="1:1" ht="13" x14ac:dyDescent="0.15">
      <c r="A138" s="6" t="s">
        <v>610</v>
      </c>
    </row>
    <row r="139" spans="1:1" ht="13" x14ac:dyDescent="0.15">
      <c r="A139" s="6" t="s">
        <v>611</v>
      </c>
    </row>
    <row r="140" spans="1:1" ht="13" x14ac:dyDescent="0.15">
      <c r="A140" s="6" t="s">
        <v>614</v>
      </c>
    </row>
    <row r="141" spans="1:1" ht="13" x14ac:dyDescent="0.15">
      <c r="A141" s="6" t="s">
        <v>168</v>
      </c>
    </row>
    <row r="143" spans="1:1" ht="13" x14ac:dyDescent="0.15">
      <c r="A143" s="6" t="s">
        <v>591</v>
      </c>
    </row>
    <row r="144" spans="1:1" ht="13" x14ac:dyDescent="0.15">
      <c r="A144" s="6" t="s">
        <v>610</v>
      </c>
    </row>
    <row r="145" spans="1:1" ht="13" x14ac:dyDescent="0.15">
      <c r="A145" s="6" t="s">
        <v>611</v>
      </c>
    </row>
    <row r="146" spans="1:1" ht="13" x14ac:dyDescent="0.15">
      <c r="A146" s="6" t="s">
        <v>615</v>
      </c>
    </row>
    <row r="147" spans="1:1" ht="13" x14ac:dyDescent="0.15">
      <c r="A147" s="6" t="s">
        <v>541</v>
      </c>
    </row>
    <row r="149" spans="1:1" ht="13" x14ac:dyDescent="0.15">
      <c r="A149" s="6" t="s">
        <v>616</v>
      </c>
    </row>
    <row r="150" spans="1:1" ht="13" x14ac:dyDescent="0.15">
      <c r="A150" s="6" t="s">
        <v>617</v>
      </c>
    </row>
    <row r="151" spans="1:1" ht="13" x14ac:dyDescent="0.15">
      <c r="A151" s="6" t="s">
        <v>596</v>
      </c>
    </row>
    <row r="152" spans="1:1" ht="13" x14ac:dyDescent="0.15">
      <c r="A152" s="6" t="s">
        <v>618</v>
      </c>
    </row>
    <row r="153" spans="1:1" ht="13" x14ac:dyDescent="0.15">
      <c r="A153" s="6" t="s">
        <v>600</v>
      </c>
    </row>
    <row r="155" spans="1:1" ht="13" x14ac:dyDescent="0.15">
      <c r="A155" s="6" t="s">
        <v>593</v>
      </c>
    </row>
    <row r="156" spans="1:1" ht="13" x14ac:dyDescent="0.15">
      <c r="A156" s="6" t="s">
        <v>619</v>
      </c>
    </row>
    <row r="157" spans="1:1" ht="13" x14ac:dyDescent="0.15">
      <c r="A157" s="6" t="s">
        <v>620</v>
      </c>
    </row>
    <row r="158" spans="1:1" ht="13" x14ac:dyDescent="0.15">
      <c r="A158" s="6" t="s">
        <v>621</v>
      </c>
    </row>
    <row r="159" spans="1:1" ht="13" x14ac:dyDescent="0.15">
      <c r="A159" s="6" t="s">
        <v>622</v>
      </c>
    </row>
    <row r="161" spans="1:1" ht="13" x14ac:dyDescent="0.15">
      <c r="A161" s="6" t="s">
        <v>595</v>
      </c>
    </row>
    <row r="162" spans="1:1" ht="13" x14ac:dyDescent="0.15">
      <c r="A162" s="6" t="s">
        <v>619</v>
      </c>
    </row>
    <row r="163" spans="1:1" ht="13" x14ac:dyDescent="0.15">
      <c r="A163" s="6" t="s">
        <v>620</v>
      </c>
    </row>
    <row r="164" spans="1:1" ht="13" x14ac:dyDescent="0.15">
      <c r="A164" s="6" t="s">
        <v>623</v>
      </c>
    </row>
    <row r="165" spans="1:1" ht="13" x14ac:dyDescent="0.15">
      <c r="A165" s="6" t="s">
        <v>624</v>
      </c>
    </row>
    <row r="167" spans="1:1" ht="13" x14ac:dyDescent="0.15">
      <c r="A167" s="6" t="s">
        <v>625</v>
      </c>
    </row>
    <row r="168" spans="1:1" ht="13" x14ac:dyDescent="0.15">
      <c r="A168" s="6" t="s">
        <v>626</v>
      </c>
    </row>
    <row r="169" spans="1:1" ht="13" x14ac:dyDescent="0.15">
      <c r="A169" s="6" t="s">
        <v>627</v>
      </c>
    </row>
    <row r="170" spans="1:1" ht="13" x14ac:dyDescent="0.15">
      <c r="A170" s="6" t="s">
        <v>194</v>
      </c>
    </row>
    <row r="171" spans="1:1" ht="13" x14ac:dyDescent="0.15">
      <c r="A171" s="6" t="s">
        <v>530</v>
      </c>
    </row>
    <row r="173" spans="1:1" ht="13" x14ac:dyDescent="0.15">
      <c r="A173" s="6" t="s">
        <v>628</v>
      </c>
    </row>
    <row r="174" spans="1:1" ht="13" x14ac:dyDescent="0.15">
      <c r="A174" s="6" t="s">
        <v>629</v>
      </c>
    </row>
    <row r="175" spans="1:1" ht="13" x14ac:dyDescent="0.15">
      <c r="A175" s="6" t="s">
        <v>630</v>
      </c>
    </row>
    <row r="176" spans="1:1" ht="13" x14ac:dyDescent="0.15">
      <c r="A176" s="6" t="s">
        <v>631</v>
      </c>
    </row>
    <row r="177" spans="1:1" ht="13" x14ac:dyDescent="0.15">
      <c r="A177" s="6" t="s">
        <v>632</v>
      </c>
    </row>
    <row r="179" spans="1:1" ht="13" x14ac:dyDescent="0.15">
      <c r="A179" s="6" t="s">
        <v>584</v>
      </c>
    </row>
    <row r="180" spans="1:1" ht="13" x14ac:dyDescent="0.15">
      <c r="A180" s="6" t="s">
        <v>629</v>
      </c>
    </row>
    <row r="181" spans="1:1" ht="13" x14ac:dyDescent="0.15">
      <c r="A181" s="6" t="s">
        <v>630</v>
      </c>
    </row>
    <row r="182" spans="1:1" ht="13" x14ac:dyDescent="0.15">
      <c r="A182" s="6" t="s">
        <v>633</v>
      </c>
    </row>
    <row r="183" spans="1:1" ht="13" x14ac:dyDescent="0.15">
      <c r="A183" s="6" t="s">
        <v>567</v>
      </c>
    </row>
    <row r="185" spans="1:1" ht="13" x14ac:dyDescent="0.15">
      <c r="A185" s="6" t="s">
        <v>586</v>
      </c>
    </row>
    <row r="186" spans="1:1" ht="13" x14ac:dyDescent="0.15">
      <c r="A186" s="6" t="s">
        <v>634</v>
      </c>
    </row>
    <row r="187" spans="1:1" ht="13" x14ac:dyDescent="0.15">
      <c r="A187" s="6" t="s">
        <v>635</v>
      </c>
    </row>
    <row r="188" spans="1:1" ht="13" x14ac:dyDescent="0.15">
      <c r="A188" s="6" t="s">
        <v>636</v>
      </c>
    </row>
    <row r="189" spans="1:1" ht="13" x14ac:dyDescent="0.15">
      <c r="A189" s="6" t="s">
        <v>541</v>
      </c>
    </row>
    <row r="191" spans="1:1" ht="13" x14ac:dyDescent="0.15">
      <c r="A191" s="6" t="s">
        <v>588</v>
      </c>
    </row>
    <row r="192" spans="1:1" ht="13" x14ac:dyDescent="0.15">
      <c r="A192" s="6" t="s">
        <v>637</v>
      </c>
    </row>
    <row r="193" spans="1:1" ht="13" x14ac:dyDescent="0.15">
      <c r="A193" s="6" t="s">
        <v>638</v>
      </c>
    </row>
    <row r="194" spans="1:1" ht="13" x14ac:dyDescent="0.15">
      <c r="A194" s="6" t="s">
        <v>539</v>
      </c>
    </row>
    <row r="195" spans="1:1" ht="13" x14ac:dyDescent="0.15">
      <c r="A195" s="6" t="s">
        <v>567</v>
      </c>
    </row>
    <row r="197" spans="1:1" ht="13" x14ac:dyDescent="0.15">
      <c r="A197" s="6" t="s">
        <v>638</v>
      </c>
    </row>
    <row r="198" spans="1:1" ht="13" x14ac:dyDescent="0.15">
      <c r="A198" s="6" t="s">
        <v>639</v>
      </c>
    </row>
    <row r="199" spans="1:1" ht="13" x14ac:dyDescent="0.15">
      <c r="A199" s="6" t="s">
        <v>567</v>
      </c>
    </row>
    <row r="201" spans="1:1" ht="13" x14ac:dyDescent="0.15">
      <c r="A201" s="6" t="s">
        <v>590</v>
      </c>
    </row>
    <row r="202" spans="1:1" ht="13" x14ac:dyDescent="0.15">
      <c r="A202" s="6" t="s">
        <v>640</v>
      </c>
    </row>
    <row r="203" spans="1:1" ht="13" x14ac:dyDescent="0.15">
      <c r="A203" s="6" t="s">
        <v>641</v>
      </c>
    </row>
    <row r="204" spans="1:1" ht="13" x14ac:dyDescent="0.15">
      <c r="A204" s="6" t="s">
        <v>555</v>
      </c>
    </row>
    <row r="205" spans="1:1" ht="13" x14ac:dyDescent="0.15">
      <c r="A205" s="6" t="s">
        <v>168</v>
      </c>
    </row>
    <row r="207" spans="1:1" ht="13" x14ac:dyDescent="0.15">
      <c r="A207" s="6" t="s">
        <v>592</v>
      </c>
    </row>
    <row r="208" spans="1:1" ht="13" x14ac:dyDescent="0.15">
      <c r="A208" s="6" t="s">
        <v>642</v>
      </c>
    </row>
    <row r="209" spans="1:1" ht="13" x14ac:dyDescent="0.15">
      <c r="A209" s="6" t="s">
        <v>601</v>
      </c>
    </row>
    <row r="210" spans="1:1" ht="13" x14ac:dyDescent="0.15">
      <c r="A210" s="6" t="s">
        <v>643</v>
      </c>
    </row>
    <row r="211" spans="1:1" ht="13" x14ac:dyDescent="0.15">
      <c r="A211" s="6" t="s">
        <v>145</v>
      </c>
    </row>
    <row r="213" spans="1:1" ht="13" x14ac:dyDescent="0.15">
      <c r="A213" s="6" t="s">
        <v>594</v>
      </c>
    </row>
    <row r="214" spans="1:1" ht="13" x14ac:dyDescent="0.15">
      <c r="A214" s="6" t="s">
        <v>642</v>
      </c>
    </row>
    <row r="215" spans="1:1" ht="13" x14ac:dyDescent="0.15">
      <c r="A215" s="6" t="s">
        <v>601</v>
      </c>
    </row>
    <row r="216" spans="1:1" ht="13" x14ac:dyDescent="0.15">
      <c r="A216" s="6" t="s">
        <v>644</v>
      </c>
    </row>
    <row r="217" spans="1:1" ht="13" x14ac:dyDescent="0.15">
      <c r="A217" s="6" t="s">
        <v>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5"/>
  <sheetViews>
    <sheetView workbookViewId="0"/>
  </sheetViews>
  <sheetFormatPr baseColWidth="10" defaultColWidth="12.6640625" defaultRowHeight="15.75" customHeight="1" x14ac:dyDescent="0.15"/>
  <cols>
    <col min="1" max="1" width="16.5" customWidth="1"/>
    <col min="3" max="3" width="43" customWidth="1"/>
    <col min="5" max="5" width="25.6640625" customWidth="1"/>
  </cols>
  <sheetData>
    <row r="1" spans="1:6" ht="15.75" customHeight="1" x14ac:dyDescent="0.15">
      <c r="A1" s="41" t="s">
        <v>645</v>
      </c>
      <c r="B1" s="42" t="s">
        <v>96</v>
      </c>
      <c r="C1" s="41" t="s">
        <v>646</v>
      </c>
      <c r="E1" s="6" t="s">
        <v>647</v>
      </c>
      <c r="F1" s="43" t="s">
        <v>648</v>
      </c>
    </row>
    <row r="2" spans="1:6" ht="15.75" customHeight="1" x14ac:dyDescent="0.15">
      <c r="A2" s="44" t="s">
        <v>649</v>
      </c>
      <c r="B2" s="45">
        <v>18.3</v>
      </c>
      <c r="C2" s="45" t="s">
        <v>650</v>
      </c>
    </row>
    <row r="3" spans="1:6" ht="15.75" customHeight="1" x14ac:dyDescent="0.15">
      <c r="A3" s="46" t="s">
        <v>651</v>
      </c>
      <c r="B3" s="47">
        <v>17.2</v>
      </c>
      <c r="C3" s="47" t="s">
        <v>652</v>
      </c>
    </row>
    <row r="4" spans="1:6" ht="15.75" customHeight="1" x14ac:dyDescent="0.15">
      <c r="A4" s="19" t="s">
        <v>653</v>
      </c>
      <c r="B4" s="16">
        <v>18.2</v>
      </c>
      <c r="C4" s="16" t="s">
        <v>650</v>
      </c>
    </row>
    <row r="5" spans="1:6" ht="15.75" customHeight="1" x14ac:dyDescent="0.15">
      <c r="A5" s="19" t="s">
        <v>654</v>
      </c>
      <c r="B5" s="16">
        <v>17.600000000000001</v>
      </c>
      <c r="C5" s="16" t="s">
        <v>650</v>
      </c>
    </row>
    <row r="6" spans="1:6" ht="15.75" customHeight="1" x14ac:dyDescent="0.15">
      <c r="A6" s="46" t="s">
        <v>549</v>
      </c>
      <c r="B6" s="47">
        <v>18.5</v>
      </c>
      <c r="C6" s="47" t="s">
        <v>655</v>
      </c>
    </row>
    <row r="7" spans="1:6" ht="15.75" customHeight="1" x14ac:dyDescent="0.15">
      <c r="A7" s="46" t="s">
        <v>550</v>
      </c>
      <c r="B7" s="47">
        <v>19.100000000000001</v>
      </c>
      <c r="C7" s="47" t="s">
        <v>656</v>
      </c>
    </row>
    <row r="8" spans="1:6" ht="15.75" customHeight="1" x14ac:dyDescent="0.15">
      <c r="A8" s="19" t="s">
        <v>634</v>
      </c>
      <c r="B8" s="16">
        <v>18.100000000000001</v>
      </c>
      <c r="C8" s="16" t="s">
        <v>650</v>
      </c>
    </row>
    <row r="9" spans="1:6" ht="15.75" customHeight="1" x14ac:dyDescent="0.15">
      <c r="A9" s="19" t="s">
        <v>637</v>
      </c>
      <c r="B9" s="16">
        <v>17.899999999999999</v>
      </c>
      <c r="C9" s="16" t="s">
        <v>657</v>
      </c>
    </row>
    <row r="10" spans="1:6" ht="15.75" customHeight="1" x14ac:dyDescent="0.15">
      <c r="A10" s="46" t="s">
        <v>520</v>
      </c>
      <c r="B10" s="47">
        <v>20.100000000000001</v>
      </c>
      <c r="C10" s="47" t="s">
        <v>658</v>
      </c>
    </row>
    <row r="11" spans="1:6" ht="15.75" customHeight="1" x14ac:dyDescent="0.15">
      <c r="A11" s="46" t="s">
        <v>523</v>
      </c>
      <c r="B11" s="47">
        <v>17.100000000000001</v>
      </c>
      <c r="C11" s="47" t="s">
        <v>652</v>
      </c>
    </row>
    <row r="12" spans="1:6" ht="15.75" customHeight="1" x14ac:dyDescent="0.15">
      <c r="A12" s="19" t="s">
        <v>534</v>
      </c>
      <c r="B12" s="16">
        <v>18</v>
      </c>
      <c r="C12" s="16" t="s">
        <v>650</v>
      </c>
    </row>
    <row r="13" spans="1:6" ht="15.75" customHeight="1" x14ac:dyDescent="0.15">
      <c r="A13" s="19" t="s">
        <v>538</v>
      </c>
      <c r="B13" s="16">
        <v>17.899999999999999</v>
      </c>
      <c r="C13" s="16" t="s">
        <v>655</v>
      </c>
    </row>
    <row r="14" spans="1:6" ht="15.75" customHeight="1" x14ac:dyDescent="0.15">
      <c r="A14" s="46" t="s">
        <v>132</v>
      </c>
      <c r="B14" s="47">
        <v>18.7</v>
      </c>
      <c r="C14" s="47" t="s">
        <v>659</v>
      </c>
    </row>
    <row r="15" spans="1:6" ht="15.75" customHeight="1" x14ac:dyDescent="0.15">
      <c r="A15" s="48" t="s">
        <v>130</v>
      </c>
      <c r="B15" s="49">
        <v>19.7</v>
      </c>
      <c r="C15" s="49" t="s">
        <v>658</v>
      </c>
    </row>
  </sheetData>
  <hyperlinks>
    <hyperlink ref="F1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</vt:lpstr>
      <vt:lpstr>STING</vt:lpstr>
      <vt:lpstr>CGAS</vt:lpstr>
      <vt:lpstr>Figuring out RXNS</vt:lpstr>
      <vt:lpstr>Figureing out RXNS v2</vt:lpstr>
      <vt:lpstr>Resuspending 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Birch</cp:lastModifiedBy>
  <dcterms:modified xsi:type="dcterms:W3CDTF">2026-03-05T15:28:20Z</dcterms:modified>
</cp:coreProperties>
</file>