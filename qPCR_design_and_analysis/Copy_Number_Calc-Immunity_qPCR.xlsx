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dney/Library/CloudStorage/GoogleDrive-sbirch1@uncc.edu/My Drive/Postdoc_work/Immunity_gene_Project/qPCR/Immunity_Runs_Plate_setups/"/>
    </mc:Choice>
  </mc:AlternateContent>
  <xr:revisionPtr revIDLastSave="0" documentId="13_ncr:1_{A1BA53D5-1156-1D46-B601-6DC3DD4E37DC}" xr6:coauthVersionLast="47" xr6:coauthVersionMax="47" xr10:uidLastSave="{00000000-0000-0000-0000-000000000000}"/>
  <bookViews>
    <workbookView xWindow="29700" yWindow="500" windowWidth="32760" windowHeight="20740" activeTab="5" xr2:uid="{6A2EC41B-3CEA-EA42-8905-1260047E1DC2}"/>
  </bookViews>
  <sheets>
    <sheet name="NS" sheetId="3" r:id="rId1"/>
    <sheet name="ME" sheetId="5" r:id="rId2"/>
    <sheet name="NH" sheetId="4" r:id="rId3"/>
    <sheet name="MA" sheetId="2" r:id="rId4"/>
    <sheet name="NC" sheetId="6" r:id="rId5"/>
    <sheet name="New FL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2" i="3" l="1"/>
  <c r="I132" i="3"/>
  <c r="J128" i="3"/>
  <c r="I128" i="3"/>
  <c r="J124" i="3"/>
  <c r="I124" i="3"/>
  <c r="AA22" i="3" s="1"/>
  <c r="AB22" i="3" s="1"/>
  <c r="J120" i="3"/>
  <c r="I120" i="3"/>
  <c r="J116" i="3"/>
  <c r="I116" i="3"/>
  <c r="J112" i="3"/>
  <c r="I112" i="3"/>
  <c r="J108" i="3"/>
  <c r="I108" i="3"/>
  <c r="J104" i="3"/>
  <c r="I104" i="3"/>
  <c r="J98" i="3"/>
  <c r="I98" i="3"/>
  <c r="J94" i="3"/>
  <c r="I94" i="3"/>
  <c r="J90" i="3"/>
  <c r="I90" i="3"/>
  <c r="W22" i="3" s="1"/>
  <c r="X22" i="3" s="1"/>
  <c r="J86" i="3"/>
  <c r="I86" i="3"/>
  <c r="V18" i="3" s="1"/>
  <c r="J82" i="3"/>
  <c r="I82" i="3"/>
  <c r="J78" i="3"/>
  <c r="I78" i="3"/>
  <c r="J74" i="3"/>
  <c r="I74" i="3"/>
  <c r="J70" i="3"/>
  <c r="I70" i="3"/>
  <c r="J64" i="3"/>
  <c r="I64" i="3"/>
  <c r="J60" i="3"/>
  <c r="I60" i="3"/>
  <c r="J56" i="3"/>
  <c r="I56" i="3"/>
  <c r="S22" i="3" s="1"/>
  <c r="T22" i="3" s="1"/>
  <c r="J52" i="3"/>
  <c r="I52" i="3"/>
  <c r="J48" i="3"/>
  <c r="I48" i="3"/>
  <c r="J44" i="3"/>
  <c r="I44" i="3"/>
  <c r="J40" i="3"/>
  <c r="I40" i="3"/>
  <c r="J36" i="3"/>
  <c r="I36" i="3"/>
  <c r="J30" i="3"/>
  <c r="I30" i="3"/>
  <c r="J26" i="3"/>
  <c r="I26" i="3"/>
  <c r="V26" i="3" s="1"/>
  <c r="J22" i="3"/>
  <c r="I22" i="3"/>
  <c r="J18" i="3"/>
  <c r="I18" i="3"/>
  <c r="S18" i="3" s="1"/>
  <c r="T18" i="3" s="1"/>
  <c r="J14" i="3"/>
  <c r="I14" i="3"/>
  <c r="W14" i="3" s="1"/>
  <c r="X14" i="3" s="1"/>
  <c r="J10" i="3"/>
  <c r="I10" i="3"/>
  <c r="AA10" i="3" s="1"/>
  <c r="AB10" i="3" s="1"/>
  <c r="J6" i="3"/>
  <c r="I6" i="3"/>
  <c r="J2" i="3"/>
  <c r="I2" i="3"/>
  <c r="J132" i="5"/>
  <c r="I132" i="5"/>
  <c r="J128" i="5"/>
  <c r="I128" i="5"/>
  <c r="J124" i="5"/>
  <c r="I124" i="5"/>
  <c r="J120" i="5"/>
  <c r="I120" i="5"/>
  <c r="Z18" i="5" s="1"/>
  <c r="J116" i="5"/>
  <c r="I116" i="5"/>
  <c r="J112" i="5"/>
  <c r="I112" i="5"/>
  <c r="J108" i="5"/>
  <c r="I108" i="5"/>
  <c r="J104" i="5"/>
  <c r="I104" i="5"/>
  <c r="J98" i="5"/>
  <c r="I98" i="5"/>
  <c r="W30" i="5" s="1"/>
  <c r="X30" i="5" s="1"/>
  <c r="J94" i="5"/>
  <c r="I94" i="5"/>
  <c r="J90" i="5"/>
  <c r="I90" i="5"/>
  <c r="V22" i="5" s="1"/>
  <c r="J86" i="5"/>
  <c r="I86" i="5"/>
  <c r="W18" i="5" s="1"/>
  <c r="X18" i="5" s="1"/>
  <c r="J82" i="5"/>
  <c r="I82" i="5"/>
  <c r="J78" i="5"/>
  <c r="I78" i="5"/>
  <c r="J74" i="5"/>
  <c r="I74" i="5"/>
  <c r="J70" i="5"/>
  <c r="I70" i="5"/>
  <c r="J64" i="5"/>
  <c r="I64" i="5"/>
  <c r="S30" i="5" s="1"/>
  <c r="T30" i="5" s="1"/>
  <c r="J60" i="5"/>
  <c r="I60" i="5"/>
  <c r="J56" i="5"/>
  <c r="I56" i="5"/>
  <c r="R22" i="5" s="1"/>
  <c r="J52" i="5"/>
  <c r="I52" i="5"/>
  <c r="J48" i="5"/>
  <c r="I48" i="5"/>
  <c r="J44" i="5"/>
  <c r="I44" i="5"/>
  <c r="J40" i="5"/>
  <c r="I40" i="5"/>
  <c r="J36" i="5"/>
  <c r="I36" i="5"/>
  <c r="J30" i="5"/>
  <c r="I30" i="5"/>
  <c r="V30" i="5" s="1"/>
  <c r="W26" i="5"/>
  <c r="X26" i="5" s="1"/>
  <c r="J26" i="5"/>
  <c r="I26" i="5"/>
  <c r="V26" i="5" s="1"/>
  <c r="J22" i="5"/>
  <c r="I22" i="5"/>
  <c r="J18" i="5"/>
  <c r="I18" i="5"/>
  <c r="J14" i="5"/>
  <c r="I14" i="5"/>
  <c r="J10" i="5"/>
  <c r="I10" i="5"/>
  <c r="AA10" i="5" s="1"/>
  <c r="AB10" i="5" s="1"/>
  <c r="J6" i="5"/>
  <c r="I6" i="5"/>
  <c r="J2" i="5"/>
  <c r="I2" i="5"/>
  <c r="J132" i="4"/>
  <c r="I132" i="4"/>
  <c r="J128" i="4"/>
  <c r="I128" i="4"/>
  <c r="J124" i="4"/>
  <c r="I124" i="4"/>
  <c r="J120" i="4"/>
  <c r="I120" i="4"/>
  <c r="J116" i="4"/>
  <c r="I116" i="4"/>
  <c r="J112" i="4"/>
  <c r="I112" i="4"/>
  <c r="J108" i="4"/>
  <c r="I108" i="4"/>
  <c r="J104" i="4"/>
  <c r="I104" i="4"/>
  <c r="J98" i="4"/>
  <c r="I98" i="4"/>
  <c r="J94" i="4"/>
  <c r="I94" i="4"/>
  <c r="W26" i="4" s="1"/>
  <c r="X26" i="4" s="1"/>
  <c r="J90" i="4"/>
  <c r="I90" i="4"/>
  <c r="J86" i="4"/>
  <c r="I86" i="4"/>
  <c r="J82" i="4"/>
  <c r="I82" i="4"/>
  <c r="J78" i="4"/>
  <c r="I78" i="4"/>
  <c r="V10" i="4" s="1"/>
  <c r="J74" i="4"/>
  <c r="I74" i="4"/>
  <c r="V6" i="4" s="1"/>
  <c r="J70" i="4"/>
  <c r="I70" i="4"/>
  <c r="J64" i="4"/>
  <c r="I64" i="4"/>
  <c r="J60" i="4"/>
  <c r="I60" i="4"/>
  <c r="J56" i="4"/>
  <c r="I56" i="4"/>
  <c r="J52" i="4"/>
  <c r="I52" i="4"/>
  <c r="J48" i="4"/>
  <c r="I48" i="4"/>
  <c r="J44" i="4"/>
  <c r="I44" i="4"/>
  <c r="S10" i="4" s="1"/>
  <c r="T10" i="4" s="1"/>
  <c r="J40" i="4"/>
  <c r="I40" i="4"/>
  <c r="J36" i="4"/>
  <c r="I36" i="4"/>
  <c r="J30" i="4"/>
  <c r="I30" i="4"/>
  <c r="S30" i="4" s="1"/>
  <c r="T30" i="4" s="1"/>
  <c r="J26" i="4"/>
  <c r="I26" i="4"/>
  <c r="J22" i="4"/>
  <c r="I22" i="4"/>
  <c r="R22" i="4" s="1"/>
  <c r="J18" i="4"/>
  <c r="I18" i="4"/>
  <c r="J14" i="4"/>
  <c r="I14" i="4"/>
  <c r="J10" i="4"/>
  <c r="I10" i="4"/>
  <c r="AA10" i="4" s="1"/>
  <c r="AB10" i="4" s="1"/>
  <c r="J6" i="4"/>
  <c r="I6" i="4"/>
  <c r="J2" i="4"/>
  <c r="I2" i="4"/>
  <c r="AA2" i="4" s="1"/>
  <c r="AB2" i="4" s="1"/>
  <c r="J132" i="6"/>
  <c r="I132" i="6"/>
  <c r="J128" i="6"/>
  <c r="I128" i="6"/>
  <c r="J124" i="6"/>
  <c r="I124" i="6"/>
  <c r="J120" i="6"/>
  <c r="I120" i="6"/>
  <c r="J116" i="6"/>
  <c r="I116" i="6"/>
  <c r="J112" i="6"/>
  <c r="I112" i="6"/>
  <c r="J108" i="6"/>
  <c r="I108" i="6"/>
  <c r="J104" i="6"/>
  <c r="I104" i="6"/>
  <c r="J98" i="6"/>
  <c r="I98" i="6"/>
  <c r="J94" i="6"/>
  <c r="I94" i="6"/>
  <c r="W26" i="6" s="1"/>
  <c r="X26" i="6" s="1"/>
  <c r="J90" i="6"/>
  <c r="I90" i="6"/>
  <c r="J86" i="6"/>
  <c r="I86" i="6"/>
  <c r="V18" i="6" s="1"/>
  <c r="J82" i="6"/>
  <c r="I82" i="6"/>
  <c r="J78" i="6"/>
  <c r="I78" i="6"/>
  <c r="J74" i="6"/>
  <c r="I74" i="6"/>
  <c r="J70" i="6"/>
  <c r="I70" i="6"/>
  <c r="J64" i="6"/>
  <c r="I64" i="6"/>
  <c r="J60" i="6"/>
  <c r="I60" i="6"/>
  <c r="J56" i="6"/>
  <c r="I56" i="6"/>
  <c r="J52" i="6"/>
  <c r="I52" i="6"/>
  <c r="J48" i="6"/>
  <c r="I48" i="6"/>
  <c r="J44" i="6"/>
  <c r="I44" i="6"/>
  <c r="J40" i="6"/>
  <c r="I40" i="6"/>
  <c r="J36" i="6"/>
  <c r="I36" i="6"/>
  <c r="J30" i="6"/>
  <c r="I30" i="6"/>
  <c r="R30" i="6" s="1"/>
  <c r="J26" i="6"/>
  <c r="I26" i="6"/>
  <c r="J22" i="6"/>
  <c r="I22" i="6"/>
  <c r="Z22" i="6" s="1"/>
  <c r="J18" i="6"/>
  <c r="I18" i="6"/>
  <c r="J14" i="6"/>
  <c r="I14" i="6"/>
  <c r="J10" i="6"/>
  <c r="I10" i="6"/>
  <c r="AA10" i="6" s="1"/>
  <c r="AB10" i="6" s="1"/>
  <c r="J6" i="6"/>
  <c r="I6" i="6"/>
  <c r="Z6" i="6" s="1"/>
  <c r="J2" i="6"/>
  <c r="I2" i="6"/>
  <c r="J132" i="2"/>
  <c r="I132" i="2"/>
  <c r="J128" i="2"/>
  <c r="I128" i="2"/>
  <c r="J124" i="2"/>
  <c r="I124" i="2"/>
  <c r="AA22" i="2" s="1"/>
  <c r="AB22" i="2" s="1"/>
  <c r="J120" i="2"/>
  <c r="I120" i="2"/>
  <c r="J116" i="2"/>
  <c r="I116" i="2"/>
  <c r="J112" i="2"/>
  <c r="I112" i="2"/>
  <c r="J108" i="2"/>
  <c r="I108" i="2"/>
  <c r="J104" i="2"/>
  <c r="I104" i="2"/>
  <c r="J98" i="2"/>
  <c r="I98" i="2"/>
  <c r="J94" i="2"/>
  <c r="I94" i="2"/>
  <c r="W26" i="2" s="1"/>
  <c r="X26" i="2" s="1"/>
  <c r="J90" i="2"/>
  <c r="I90" i="2"/>
  <c r="J86" i="2"/>
  <c r="I86" i="2"/>
  <c r="J82" i="2"/>
  <c r="I82" i="2"/>
  <c r="J78" i="2"/>
  <c r="I78" i="2"/>
  <c r="J74" i="2"/>
  <c r="I74" i="2"/>
  <c r="W6" i="2" s="1"/>
  <c r="X6" i="2" s="1"/>
  <c r="J70" i="2"/>
  <c r="I70" i="2"/>
  <c r="J64" i="2"/>
  <c r="I64" i="2"/>
  <c r="J60" i="2"/>
  <c r="I60" i="2"/>
  <c r="J56" i="2"/>
  <c r="I56" i="2"/>
  <c r="S22" i="2" s="1"/>
  <c r="T22" i="2" s="1"/>
  <c r="J52" i="2"/>
  <c r="I52" i="2"/>
  <c r="J48" i="2"/>
  <c r="I48" i="2"/>
  <c r="J44" i="2"/>
  <c r="I44" i="2"/>
  <c r="J40" i="2"/>
  <c r="I40" i="2"/>
  <c r="J36" i="2"/>
  <c r="I36" i="2"/>
  <c r="J30" i="2"/>
  <c r="I30" i="2"/>
  <c r="R30" i="2" s="1"/>
  <c r="J26" i="2"/>
  <c r="I26" i="2"/>
  <c r="J22" i="2"/>
  <c r="I22" i="2"/>
  <c r="J18" i="2"/>
  <c r="I18" i="2"/>
  <c r="J14" i="2"/>
  <c r="I14" i="2"/>
  <c r="J10" i="2"/>
  <c r="I10" i="2"/>
  <c r="S10" i="2" s="1"/>
  <c r="T10" i="2" s="1"/>
  <c r="J6" i="2"/>
  <c r="I6" i="2"/>
  <c r="J2" i="2"/>
  <c r="I2" i="2"/>
  <c r="S30" i="6" l="1"/>
  <c r="T30" i="6" s="1"/>
  <c r="W30" i="6"/>
  <c r="X30" i="6" s="1"/>
  <c r="V30" i="6"/>
  <c r="V26" i="6"/>
  <c r="R22" i="6"/>
  <c r="S22" i="6"/>
  <c r="T22" i="6" s="1"/>
  <c r="AA22" i="6"/>
  <c r="AB22" i="6" s="1"/>
  <c r="V22" i="6"/>
  <c r="W18" i="6"/>
  <c r="X18" i="6" s="1"/>
  <c r="S18" i="6"/>
  <c r="T18" i="6" s="1"/>
  <c r="W14" i="6"/>
  <c r="X14" i="6" s="1"/>
  <c r="R10" i="6"/>
  <c r="W10" i="6"/>
  <c r="X10" i="6" s="1"/>
  <c r="S10" i="6"/>
  <c r="T10" i="6" s="1"/>
  <c r="V10" i="6"/>
  <c r="V6" i="6"/>
  <c r="W6" i="6"/>
  <c r="X6" i="6" s="1"/>
  <c r="R2" i="6"/>
  <c r="S2" i="6"/>
  <c r="T2" i="6" s="1"/>
  <c r="V30" i="2"/>
  <c r="S30" i="2"/>
  <c r="T30" i="2" s="1"/>
  <c r="W30" i="2"/>
  <c r="X30" i="2" s="1"/>
  <c r="V26" i="2"/>
  <c r="Z22" i="2"/>
  <c r="R22" i="2"/>
  <c r="R18" i="2"/>
  <c r="W18" i="2"/>
  <c r="X18" i="2" s="1"/>
  <c r="S18" i="2"/>
  <c r="T18" i="2" s="1"/>
  <c r="W14" i="2"/>
  <c r="X14" i="2" s="1"/>
  <c r="V10" i="2"/>
  <c r="R10" i="2"/>
  <c r="AA10" i="2"/>
  <c r="AB10" i="2" s="1"/>
  <c r="V6" i="2"/>
  <c r="S6" i="2"/>
  <c r="T6" i="2" s="1"/>
  <c r="R2" i="2"/>
  <c r="W30" i="4"/>
  <c r="X30" i="4" s="1"/>
  <c r="V30" i="4"/>
  <c r="R30" i="4"/>
  <c r="V26" i="4"/>
  <c r="S22" i="4"/>
  <c r="T22" i="4" s="1"/>
  <c r="V22" i="4"/>
  <c r="AA22" i="4"/>
  <c r="AB22" i="4" s="1"/>
  <c r="Z22" i="4"/>
  <c r="V18" i="4"/>
  <c r="Z18" i="4"/>
  <c r="S18" i="4"/>
  <c r="T18" i="4" s="1"/>
  <c r="W14" i="4"/>
  <c r="X14" i="4" s="1"/>
  <c r="R10" i="4"/>
  <c r="W10" i="4"/>
  <c r="X10" i="4" s="1"/>
  <c r="W6" i="4"/>
  <c r="X6" i="4" s="1"/>
  <c r="S6" i="4"/>
  <c r="T6" i="4" s="1"/>
  <c r="R30" i="5"/>
  <c r="Z26" i="5"/>
  <c r="AA22" i="5"/>
  <c r="AB22" i="5" s="1"/>
  <c r="Z22" i="5"/>
  <c r="S22" i="5"/>
  <c r="T22" i="5" s="1"/>
  <c r="S18" i="5"/>
  <c r="T18" i="5" s="1"/>
  <c r="W10" i="5"/>
  <c r="X10" i="5" s="1"/>
  <c r="S10" i="5"/>
  <c r="T10" i="5" s="1"/>
  <c r="R10" i="5"/>
  <c r="V10" i="5"/>
  <c r="AA6" i="5"/>
  <c r="AB6" i="5" s="1"/>
  <c r="W14" i="5"/>
  <c r="X14" i="5" s="1"/>
  <c r="V6" i="5"/>
  <c r="W6" i="5"/>
  <c r="X6" i="5" s="1"/>
  <c r="R2" i="5"/>
  <c r="V30" i="3"/>
  <c r="S30" i="3"/>
  <c r="T30" i="3" s="1"/>
  <c r="W30" i="3"/>
  <c r="X30" i="3" s="1"/>
  <c r="R30" i="3"/>
  <c r="W26" i="3"/>
  <c r="X26" i="3" s="1"/>
  <c r="Z22" i="3"/>
  <c r="R22" i="3"/>
  <c r="Z14" i="3"/>
  <c r="W10" i="3"/>
  <c r="X10" i="3" s="1"/>
  <c r="R10" i="3"/>
  <c r="S10" i="3"/>
  <c r="T10" i="3" s="1"/>
  <c r="V10" i="3"/>
  <c r="W6" i="3"/>
  <c r="X6" i="3" s="1"/>
  <c r="V6" i="3"/>
  <c r="S6" i="3"/>
  <c r="T6" i="3" s="1"/>
  <c r="AA2" i="3"/>
  <c r="AB2" i="3" s="1"/>
  <c r="R2" i="3"/>
  <c r="AA14" i="3"/>
  <c r="AB14" i="3" s="1"/>
  <c r="Z26" i="3"/>
  <c r="S2" i="3"/>
  <c r="T2" i="3" s="1"/>
  <c r="Z6" i="3"/>
  <c r="R14" i="3"/>
  <c r="AA6" i="3"/>
  <c r="AB6" i="3" s="1"/>
  <c r="S14" i="3"/>
  <c r="T14" i="3" s="1"/>
  <c r="Z18" i="3"/>
  <c r="V22" i="3"/>
  <c r="V2" i="3"/>
  <c r="R6" i="3"/>
  <c r="AA18" i="3"/>
  <c r="AB18" i="3" s="1"/>
  <c r="S26" i="3"/>
  <c r="T26" i="3" s="1"/>
  <c r="Z30" i="3"/>
  <c r="Z2" i="3"/>
  <c r="W18" i="3"/>
  <c r="X18" i="3" s="1"/>
  <c r="AA26" i="3"/>
  <c r="AB26" i="3" s="1"/>
  <c r="R26" i="3"/>
  <c r="W2" i="3"/>
  <c r="X2" i="3" s="1"/>
  <c r="Z10" i="3"/>
  <c r="V14" i="3"/>
  <c r="R18" i="3"/>
  <c r="AA30" i="3"/>
  <c r="AB30" i="3" s="1"/>
  <c r="AA2" i="5"/>
  <c r="AB2" i="5" s="1"/>
  <c r="Z14" i="5"/>
  <c r="V18" i="5"/>
  <c r="AA14" i="5"/>
  <c r="AB14" i="5" s="1"/>
  <c r="S2" i="5"/>
  <c r="T2" i="5" s="1"/>
  <c r="Z6" i="5"/>
  <c r="AA26" i="5"/>
  <c r="AB26" i="5" s="1"/>
  <c r="S14" i="5"/>
  <c r="T14" i="5" s="1"/>
  <c r="R26" i="5"/>
  <c r="V2" i="5"/>
  <c r="R6" i="5"/>
  <c r="AA18" i="5"/>
  <c r="AB18" i="5" s="1"/>
  <c r="W22" i="5"/>
  <c r="X22" i="5" s="1"/>
  <c r="S26" i="5"/>
  <c r="T26" i="5" s="1"/>
  <c r="Z30" i="5"/>
  <c r="R14" i="5"/>
  <c r="W2" i="5"/>
  <c r="X2" i="5" s="1"/>
  <c r="S6" i="5"/>
  <c r="T6" i="5" s="1"/>
  <c r="Z10" i="5"/>
  <c r="V14" i="5"/>
  <c r="R18" i="5"/>
  <c r="AA30" i="5"/>
  <c r="AB30" i="5" s="1"/>
  <c r="Z2" i="5"/>
  <c r="R2" i="4"/>
  <c r="AA14" i="4"/>
  <c r="AB14" i="4" s="1"/>
  <c r="R14" i="4"/>
  <c r="AA6" i="4"/>
  <c r="AB6" i="4" s="1"/>
  <c r="V2" i="4"/>
  <c r="R6" i="4"/>
  <c r="AA18" i="4"/>
  <c r="AB18" i="4" s="1"/>
  <c r="W22" i="4"/>
  <c r="X22" i="4" s="1"/>
  <c r="S26" i="4"/>
  <c r="T26" i="4" s="1"/>
  <c r="Z30" i="4"/>
  <c r="Z2" i="4"/>
  <c r="Z14" i="4"/>
  <c r="W18" i="4"/>
  <c r="X18" i="4" s="1"/>
  <c r="Z26" i="4"/>
  <c r="S2" i="4"/>
  <c r="T2" i="4" s="1"/>
  <c r="Z6" i="4"/>
  <c r="AA26" i="4"/>
  <c r="AB26" i="4" s="1"/>
  <c r="W2" i="4"/>
  <c r="X2" i="4" s="1"/>
  <c r="Z10" i="4"/>
  <c r="V14" i="4"/>
  <c r="R18" i="4"/>
  <c r="AA30" i="4"/>
  <c r="AB30" i="4" s="1"/>
  <c r="S14" i="4"/>
  <c r="T14" i="4" s="1"/>
  <c r="R26" i="4"/>
  <c r="AA2" i="6"/>
  <c r="AB2" i="6" s="1"/>
  <c r="AA14" i="6"/>
  <c r="AB14" i="6" s="1"/>
  <c r="AA26" i="6"/>
  <c r="AB26" i="6" s="1"/>
  <c r="AA6" i="6"/>
  <c r="AB6" i="6" s="1"/>
  <c r="V2" i="6"/>
  <c r="R6" i="6"/>
  <c r="AA18" i="6"/>
  <c r="AB18" i="6" s="1"/>
  <c r="W22" i="6"/>
  <c r="X22" i="6" s="1"/>
  <c r="S26" i="6"/>
  <c r="T26" i="6" s="1"/>
  <c r="Z30" i="6"/>
  <c r="Z14" i="6"/>
  <c r="R14" i="6"/>
  <c r="S14" i="6"/>
  <c r="T14" i="6" s="1"/>
  <c r="R26" i="6"/>
  <c r="W2" i="6"/>
  <c r="X2" i="6" s="1"/>
  <c r="S6" i="6"/>
  <c r="T6" i="6" s="1"/>
  <c r="Z10" i="6"/>
  <c r="V14" i="6"/>
  <c r="R18" i="6"/>
  <c r="AA30" i="6"/>
  <c r="AB30" i="6" s="1"/>
  <c r="Z2" i="6"/>
  <c r="Z26" i="6"/>
  <c r="Z18" i="6"/>
  <c r="AA2" i="2"/>
  <c r="AB2" i="2" s="1"/>
  <c r="V18" i="2"/>
  <c r="AA26" i="2"/>
  <c r="AB26" i="2" s="1"/>
  <c r="AA6" i="2"/>
  <c r="AB6" i="2" s="1"/>
  <c r="W10" i="2"/>
  <c r="X10" i="2" s="1"/>
  <c r="S14" i="2"/>
  <c r="T14" i="2" s="1"/>
  <c r="Z18" i="2"/>
  <c r="V22" i="2"/>
  <c r="R26" i="2"/>
  <c r="Z2" i="2"/>
  <c r="Z6" i="2"/>
  <c r="V2" i="2"/>
  <c r="R6" i="2"/>
  <c r="AA18" i="2"/>
  <c r="AB18" i="2" s="1"/>
  <c r="W22" i="2"/>
  <c r="X22" i="2" s="1"/>
  <c r="S26" i="2"/>
  <c r="T26" i="2" s="1"/>
  <c r="Z30" i="2"/>
  <c r="AA14" i="2"/>
  <c r="AB14" i="2" s="1"/>
  <c r="Z26" i="2"/>
  <c r="S2" i="2"/>
  <c r="T2" i="2" s="1"/>
  <c r="W2" i="2"/>
  <c r="X2" i="2" s="1"/>
  <c r="Z10" i="2"/>
  <c r="V14" i="2"/>
  <c r="AA30" i="2"/>
  <c r="AB30" i="2" s="1"/>
  <c r="Z14" i="2"/>
  <c r="R14" i="2"/>
  <c r="J132" i="1" l="1"/>
  <c r="I132" i="1"/>
  <c r="J128" i="1"/>
  <c r="I128" i="1"/>
  <c r="J124" i="1"/>
  <c r="I124" i="1"/>
  <c r="J120" i="1"/>
  <c r="I120" i="1"/>
  <c r="J116" i="1"/>
  <c r="I116" i="1"/>
  <c r="J112" i="1"/>
  <c r="I112" i="1"/>
  <c r="J108" i="1"/>
  <c r="I108" i="1"/>
  <c r="J104" i="1"/>
  <c r="I104" i="1"/>
  <c r="J98" i="1"/>
  <c r="I98" i="1"/>
  <c r="J94" i="1"/>
  <c r="I94" i="1"/>
  <c r="J90" i="1"/>
  <c r="I90" i="1"/>
  <c r="J86" i="1"/>
  <c r="I86" i="1"/>
  <c r="J82" i="1"/>
  <c r="I82" i="1"/>
  <c r="J78" i="1"/>
  <c r="I78" i="1"/>
  <c r="J74" i="1"/>
  <c r="I74" i="1"/>
  <c r="J70" i="1"/>
  <c r="I70" i="1"/>
  <c r="J64" i="1"/>
  <c r="I64" i="1"/>
  <c r="J60" i="1"/>
  <c r="I60" i="1"/>
  <c r="J56" i="1"/>
  <c r="I56" i="1"/>
  <c r="J52" i="1"/>
  <c r="I52" i="1"/>
  <c r="J48" i="1"/>
  <c r="I48" i="1"/>
  <c r="J44" i="1"/>
  <c r="I44" i="1"/>
  <c r="J40" i="1"/>
  <c r="I40" i="1"/>
  <c r="J36" i="1"/>
  <c r="I36" i="1"/>
  <c r="J30" i="1"/>
  <c r="I30" i="1"/>
  <c r="V30" i="1" s="1"/>
  <c r="J26" i="1"/>
  <c r="I26" i="1"/>
  <c r="J22" i="1"/>
  <c r="I22" i="1"/>
  <c r="J18" i="1"/>
  <c r="I18" i="1"/>
  <c r="S18" i="1" s="1"/>
  <c r="T18" i="1" s="1"/>
  <c r="J14" i="1"/>
  <c r="I14" i="1"/>
  <c r="W14" i="1" s="1"/>
  <c r="X14" i="1" s="1"/>
  <c r="J10" i="1"/>
  <c r="I10" i="1"/>
  <c r="AA10" i="1" s="1"/>
  <c r="AB10" i="1" s="1"/>
  <c r="J6" i="1"/>
  <c r="I6" i="1"/>
  <c r="J2" i="1"/>
  <c r="I2" i="1"/>
  <c r="AA2" i="1" s="1"/>
  <c r="AB2" i="1" s="1"/>
  <c r="Z26" i="1" l="1"/>
  <c r="R22" i="1"/>
  <c r="V10" i="1"/>
  <c r="S6" i="1"/>
  <c r="T6" i="1" s="1"/>
  <c r="W2" i="1"/>
  <c r="X2" i="1" s="1"/>
  <c r="V6" i="1"/>
  <c r="W6" i="1"/>
  <c r="X6" i="1" s="1"/>
  <c r="V26" i="1"/>
  <c r="W26" i="1"/>
  <c r="X26" i="1" s="1"/>
  <c r="Z2" i="1"/>
  <c r="Z6" i="1"/>
  <c r="AA14" i="1"/>
  <c r="AB14" i="1" s="1"/>
  <c r="Z10" i="1"/>
  <c r="AA18" i="1"/>
  <c r="AB18" i="1" s="1"/>
  <c r="R2" i="1"/>
  <c r="Z30" i="1"/>
  <c r="AA22" i="1"/>
  <c r="AB22" i="1" s="1"/>
  <c r="V2" i="1"/>
  <c r="S2" i="1"/>
  <c r="T2" i="1" s="1"/>
  <c r="AA26" i="1"/>
  <c r="AB26" i="1" s="1"/>
  <c r="V14" i="1"/>
  <c r="Z14" i="1"/>
  <c r="W10" i="1"/>
  <c r="X10" i="1" s="1"/>
  <c r="AA30" i="1"/>
  <c r="AB30" i="1" s="1"/>
  <c r="V18" i="1"/>
  <c r="Z18" i="1"/>
  <c r="R6" i="1"/>
  <c r="V22" i="1"/>
  <c r="Z22" i="1"/>
  <c r="W18" i="1"/>
  <c r="X18" i="1" s="1"/>
  <c r="AA6" i="1"/>
  <c r="AB6" i="1" s="1"/>
  <c r="W30" i="1"/>
  <c r="X30" i="1" s="1"/>
  <c r="R18" i="1"/>
  <c r="W22" i="1"/>
  <c r="X22" i="1" s="1"/>
  <c r="R14" i="1"/>
  <c r="S14" i="1"/>
  <c r="T14" i="1" s="1"/>
  <c r="S30" i="1"/>
  <c r="T30" i="1" s="1"/>
  <c r="S22" i="1"/>
  <c r="T22" i="1" s="1"/>
  <c r="S10" i="1"/>
  <c r="T10" i="1" s="1"/>
  <c r="S26" i="1"/>
  <c r="T26" i="1" s="1"/>
  <c r="R10" i="1"/>
  <c r="R30" i="1"/>
  <c r="R26" i="1"/>
</calcChain>
</file>

<file path=xl/sharedStrings.xml><?xml version="1.0" encoding="utf-8"?>
<sst xmlns="http://schemas.openxmlformats.org/spreadsheetml/2006/main" count="4194" uniqueCount="319">
  <si>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</si>
  <si>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</si>
  <si>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</si>
  <si>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</si>
  <si>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</si>
  <si>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</si>
  <si>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</si>
  <si>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</si>
  <si>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</si>
  <si>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</si>
  <si>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</si>
  <si>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</si>
  <si>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</si>
  <si>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</si>
  <si>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</si>
  <si>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SYBR</t>
  </si>
  <si>
    <t/>
  </si>
  <si>
    <t>Tech Rep 1</t>
  </si>
  <si>
    <t>Tech Rep 2</t>
  </si>
  <si>
    <t>Tech Rep 3</t>
  </si>
  <si>
    <t>Unkn</t>
  </si>
  <si>
    <t>C01</t>
  </si>
  <si>
    <t>NEW FL 1 CAT</t>
  </si>
  <si>
    <t>C02</t>
  </si>
  <si>
    <t>C03</t>
  </si>
  <si>
    <t>D01</t>
  </si>
  <si>
    <t>NEW FL 2 CAT</t>
  </si>
  <si>
    <t>D02</t>
  </si>
  <si>
    <t>D03</t>
  </si>
  <si>
    <t>E01</t>
  </si>
  <si>
    <t>NEW FL 3 CAT</t>
  </si>
  <si>
    <t>E02</t>
  </si>
  <si>
    <t>E03</t>
  </si>
  <si>
    <t>F01</t>
  </si>
  <si>
    <t>NEW FL 4 CAT</t>
  </si>
  <si>
    <t>F02</t>
  </si>
  <si>
    <t>F03</t>
  </si>
  <si>
    <t>G01</t>
  </si>
  <si>
    <t>NEW FL 5 CAT</t>
  </si>
  <si>
    <t>G02</t>
  </si>
  <si>
    <t>G03</t>
  </si>
  <si>
    <t>H01</t>
  </si>
  <si>
    <t>NEW FL 6 CAT</t>
  </si>
  <si>
    <t>H02</t>
  </si>
  <si>
    <t>H03</t>
  </si>
  <si>
    <t>A04</t>
  </si>
  <si>
    <t>NEW FL 7 CAT</t>
  </si>
  <si>
    <t>A05</t>
  </si>
  <si>
    <t>A06</t>
  </si>
  <si>
    <t>B04</t>
  </si>
  <si>
    <t>NEW FL 8 CAT</t>
  </si>
  <si>
    <t>B05</t>
  </si>
  <si>
    <t>B06</t>
  </si>
  <si>
    <t>G04</t>
  </si>
  <si>
    <t>G05</t>
  </si>
  <si>
    <t>G06</t>
  </si>
  <si>
    <t>H04</t>
  </si>
  <si>
    <t>H05</t>
  </si>
  <si>
    <t>H06</t>
  </si>
  <si>
    <t>A07</t>
  </si>
  <si>
    <t>A08</t>
  </si>
  <si>
    <t>A09</t>
  </si>
  <si>
    <t>B07</t>
  </si>
  <si>
    <t>B08</t>
  </si>
  <si>
    <t>B09</t>
  </si>
  <si>
    <t>C07</t>
  </si>
  <si>
    <t>C08</t>
  </si>
  <si>
    <t>C09</t>
  </si>
  <si>
    <t>D07</t>
  </si>
  <si>
    <t>D08</t>
  </si>
  <si>
    <t>D09</t>
  </si>
  <si>
    <t>E07</t>
  </si>
  <si>
    <t>E08</t>
  </si>
  <si>
    <t>E09</t>
  </si>
  <si>
    <t>F07</t>
  </si>
  <si>
    <t>F08</t>
  </si>
  <si>
    <t>F09</t>
  </si>
  <si>
    <t>NEW FL 1 TRIM</t>
  </si>
  <si>
    <t>NEW FL 2 TRIM</t>
  </si>
  <si>
    <t>NEW FL 3 TRIM</t>
  </si>
  <si>
    <t>NEW FL 4 TRIM</t>
  </si>
  <si>
    <t>NEW FL 5 TRIM</t>
  </si>
  <si>
    <t>NEW FL 6 TRIM</t>
  </si>
  <si>
    <t>NEW FL 7 TRIM</t>
  </si>
  <si>
    <t>NEW FL 8 TRIM</t>
  </si>
  <si>
    <t>NEW FL 1 STING</t>
  </si>
  <si>
    <t>NEW FL 2 STING</t>
  </si>
  <si>
    <t>NEW FL 3 STING</t>
  </si>
  <si>
    <t>NEW FL 4 STING</t>
  </si>
  <si>
    <t>NEW FL 5 STING</t>
  </si>
  <si>
    <t>NEW FL 6 STING</t>
  </si>
  <si>
    <t>NEW FL 7 STING</t>
  </si>
  <si>
    <t>NEW FL 8 STING</t>
  </si>
  <si>
    <t>NEW FL 1 cGAS</t>
  </si>
  <si>
    <t>NEW FL 2 cGAS</t>
  </si>
  <si>
    <t>NEW FL 3 cGAS</t>
  </si>
  <si>
    <t>NEW FL 4 cGAS</t>
  </si>
  <si>
    <t>NEW FL 5 cGAS</t>
  </si>
  <si>
    <t>NEW FL 6 cGAS</t>
  </si>
  <si>
    <t>NEW FL 7 cGAS</t>
  </si>
  <si>
    <t>NEW FL 8 cGAS</t>
  </si>
  <si>
    <t>Cat/TRIM Ratio</t>
  </si>
  <si>
    <t>Ct difference (Cat - TRIM)</t>
  </si>
  <si>
    <t>copy number of TRIM</t>
  </si>
  <si>
    <t>Cat/STING Ratio</t>
  </si>
  <si>
    <t>Ct difference (Cat - STING)</t>
  </si>
  <si>
    <t>copy number of STING</t>
  </si>
  <si>
    <t>Cat/cGAS Ratio</t>
  </si>
  <si>
    <t>Ct difference (Cat - cGAS)</t>
  </si>
  <si>
    <t>copy number of cGAS</t>
  </si>
  <si>
    <t>NS 2 CAT</t>
  </si>
  <si>
    <t>NS 3 CAT</t>
  </si>
  <si>
    <t>NS 4 CAT</t>
  </si>
  <si>
    <t>NS 5 CAT</t>
  </si>
  <si>
    <t>NS 6 CAT</t>
  </si>
  <si>
    <t>NS 7 CAT</t>
  </si>
  <si>
    <t>NS 8 CAT</t>
  </si>
  <si>
    <t>NS 2 TRIM</t>
  </si>
  <si>
    <t>NS 3 TRIM</t>
  </si>
  <si>
    <t>NS 4 TRIM</t>
  </si>
  <si>
    <t>NS 5 TRIM</t>
  </si>
  <si>
    <t>NS 6 TRIM</t>
  </si>
  <si>
    <t>NS 7 TRIM</t>
  </si>
  <si>
    <t>NS 8 TRIM</t>
  </si>
  <si>
    <t>NS 2 STING</t>
  </si>
  <si>
    <t>NS 3 STING</t>
  </si>
  <si>
    <t>NS 4 STING</t>
  </si>
  <si>
    <t>NS 5 STING</t>
  </si>
  <si>
    <t>NS 6 STING</t>
  </si>
  <si>
    <t>NS 7 STING</t>
  </si>
  <si>
    <t>NS 8 STING</t>
  </si>
  <si>
    <t>NS 2 cGAS</t>
  </si>
  <si>
    <t>NS 3 cGAS</t>
  </si>
  <si>
    <t>NS 4 cGAS</t>
  </si>
  <si>
    <t>NS 5 cGAS</t>
  </si>
  <si>
    <t>NS 6 cGAS</t>
  </si>
  <si>
    <t>NS 7 cGAS</t>
  </si>
  <si>
    <t>NS 8 cGAS</t>
  </si>
  <si>
    <t>ME 2 CAT</t>
  </si>
  <si>
    <t>ME 3 CAT</t>
  </si>
  <si>
    <t>ME 4 CAT</t>
  </si>
  <si>
    <t>ME 5 CAT</t>
  </si>
  <si>
    <t>ME 6 CAT</t>
  </si>
  <si>
    <t>ME 7 CAT</t>
  </si>
  <si>
    <t>ME 8 CAT</t>
  </si>
  <si>
    <t>ME 2 TRIM</t>
  </si>
  <si>
    <t>ME 3 TRIM</t>
  </si>
  <si>
    <t>ME 4 TRIM</t>
  </si>
  <si>
    <t>ME 5 TRIM</t>
  </si>
  <si>
    <t>ME 6 TRIM</t>
  </si>
  <si>
    <t>ME 7 TRIM</t>
  </si>
  <si>
    <t>ME 8 TRIM</t>
  </si>
  <si>
    <t>ME 2 STING</t>
  </si>
  <si>
    <t>ME 3 STING</t>
  </si>
  <si>
    <t>ME 4 STING</t>
  </si>
  <si>
    <t>ME 5 STING</t>
  </si>
  <si>
    <t>ME 6 STING</t>
  </si>
  <si>
    <t>ME 7 STING</t>
  </si>
  <si>
    <t>ME 8 STING</t>
  </si>
  <si>
    <t>ME 2 cGAS</t>
  </si>
  <si>
    <t>ME 3 cGAS</t>
  </si>
  <si>
    <t>ME 4 cGAS</t>
  </si>
  <si>
    <t>ME 5 cGAS</t>
  </si>
  <si>
    <t>ME 6 cGAS</t>
  </si>
  <si>
    <t>ME 7 cGAS</t>
  </si>
  <si>
    <t>ME 8 cGAS</t>
  </si>
  <si>
    <t>NC 1 CAT</t>
  </si>
  <si>
    <t>NC 2 CAT</t>
  </si>
  <si>
    <t>NC 3 CAT</t>
  </si>
  <si>
    <t>NC 4 CAT</t>
  </si>
  <si>
    <t>NC 5 CAT</t>
  </si>
  <si>
    <t>NC 6 CAT</t>
  </si>
  <si>
    <t>NC 7 CAT</t>
  </si>
  <si>
    <t>NC 8 CAT</t>
  </si>
  <si>
    <t>NC 1 TRIM</t>
  </si>
  <si>
    <t>NC 2 TRIM</t>
  </si>
  <si>
    <t>NC 3 TRIM</t>
  </si>
  <si>
    <t>NC 4 TRIM</t>
  </si>
  <si>
    <t>NC 5 TRIM</t>
  </si>
  <si>
    <t>NC 6 TRIM</t>
  </si>
  <si>
    <t>NC 7 TRIM</t>
  </si>
  <si>
    <t>NC 8 TRIM</t>
  </si>
  <si>
    <t>NC 1 STING</t>
  </si>
  <si>
    <t>NC 2 STING</t>
  </si>
  <si>
    <t>NC 3 STING</t>
  </si>
  <si>
    <t>NC 4 STING</t>
  </si>
  <si>
    <t>NC 5 STING</t>
  </si>
  <si>
    <t>NC 6 STING</t>
  </si>
  <si>
    <t>NC 7 STING</t>
  </si>
  <si>
    <t>NC 8 STING</t>
  </si>
  <si>
    <t>NC 1 cGAS</t>
  </si>
  <si>
    <t>NC 2 cGAS</t>
  </si>
  <si>
    <t>NC 3 cGAS</t>
  </si>
  <si>
    <t>NC 4 cGAS</t>
  </si>
  <si>
    <t>NC 5 cGAS</t>
  </si>
  <si>
    <t>NC 6 cGAS</t>
  </si>
  <si>
    <t>NC 7 cGAS</t>
  </si>
  <si>
    <t>NC 8 cGAS</t>
  </si>
  <si>
    <t>MAuor</t>
  </si>
  <si>
    <t>MA 1 CAT</t>
  </si>
  <si>
    <t>MA 2 CAT</t>
  </si>
  <si>
    <t>MA 3 CAT</t>
  </si>
  <si>
    <t>MA 4 CAT</t>
  </si>
  <si>
    <t>MA 5 CAT</t>
  </si>
  <si>
    <t>MA 6 CAT</t>
  </si>
  <si>
    <t>MA 7 CAT</t>
  </si>
  <si>
    <t>MA 8 CAT</t>
  </si>
  <si>
    <t>MA 1 TRIM</t>
  </si>
  <si>
    <t>MA 2 TRIM</t>
  </si>
  <si>
    <t>MA 3 TRIM</t>
  </si>
  <si>
    <t>MA 4 TRIM</t>
  </si>
  <si>
    <t>MA 5 TRIM</t>
  </si>
  <si>
    <t>MA 6 TRIM</t>
  </si>
  <si>
    <t>MA 7 TRIM</t>
  </si>
  <si>
    <t>MA 8 TRIM</t>
  </si>
  <si>
    <t>MA 1 STING</t>
  </si>
  <si>
    <t>MA 2 STING</t>
  </si>
  <si>
    <t>MA 3 STING</t>
  </si>
  <si>
    <t>MA 4 STING</t>
  </si>
  <si>
    <t>MA 5 STING</t>
  </si>
  <si>
    <t>MA 6 STING</t>
  </si>
  <si>
    <t>MA 7 STING</t>
  </si>
  <si>
    <t>MA 8 STING</t>
  </si>
  <si>
    <t>MA 1 cGAS</t>
  </si>
  <si>
    <t>MA 2 cGAS</t>
  </si>
  <si>
    <t>MA 3 cGAS</t>
  </si>
  <si>
    <t>MA 4 cGAS</t>
  </si>
  <si>
    <t>MA 5 cGAS</t>
  </si>
  <si>
    <t>MA 6 cGAS</t>
  </si>
  <si>
    <t>MA 7 cGAS</t>
  </si>
  <si>
    <t>MA 8 cGAS</t>
  </si>
  <si>
    <t>NH 2 CAT</t>
  </si>
  <si>
    <t>NH 3 CAT</t>
  </si>
  <si>
    <t>NH 4 CAT</t>
  </si>
  <si>
    <t>NH 5 CAT</t>
  </si>
  <si>
    <t>NH 6 CAT</t>
  </si>
  <si>
    <t>NH 7 CAT</t>
  </si>
  <si>
    <t>NH 8 CAT</t>
  </si>
  <si>
    <t>NH 2 TRIM</t>
  </si>
  <si>
    <t>NH 3 TRIM</t>
  </si>
  <si>
    <t>NH 4 TRIM</t>
  </si>
  <si>
    <t>NH 5 TRIM</t>
  </si>
  <si>
    <t>NH 6 TRIM</t>
  </si>
  <si>
    <t>NH 7 TRIM</t>
  </si>
  <si>
    <t>NH 8 TRIM</t>
  </si>
  <si>
    <t>NH 2 STING</t>
  </si>
  <si>
    <t>NH 3 STING</t>
  </si>
  <si>
    <t>NH 4 STING</t>
  </si>
  <si>
    <t>NH 5 STING</t>
  </si>
  <si>
    <t>NH 6 STING</t>
  </si>
  <si>
    <t>NH 7 STING</t>
  </si>
  <si>
    <t>NH 8 STING</t>
  </si>
  <si>
    <t>NH 2 cGAS</t>
  </si>
  <si>
    <t>NH 3 cGAS</t>
  </si>
  <si>
    <t>NH 4 cGAS</t>
  </si>
  <si>
    <t>NH 5 cGAS</t>
  </si>
  <si>
    <t>NH 6 cGAS</t>
  </si>
  <si>
    <t>NH 7 cGAS</t>
  </si>
  <si>
    <t>NH 8 cGAS</t>
  </si>
  <si>
    <t>NS 9 CAT</t>
  </si>
  <si>
    <t>NS 9 TRIM</t>
  </si>
  <si>
    <t>NS 9 STING</t>
  </si>
  <si>
    <t>NS 9 cGAS</t>
  </si>
  <si>
    <t>ME 10 CAT</t>
  </si>
  <si>
    <t>ME 10 TRIM</t>
  </si>
  <si>
    <t>ME 10 STING</t>
  </si>
  <si>
    <t>ME 10 cGAS</t>
  </si>
  <si>
    <t>NH 9 CAT</t>
  </si>
  <si>
    <t>NH 9 TRIM</t>
  </si>
  <si>
    <t>NH 9 STING</t>
  </si>
  <si>
    <t>NH 9 cGAS</t>
  </si>
  <si>
    <t>A01</t>
  </si>
  <si>
    <t>A02</t>
  </si>
  <si>
    <t>A03</t>
  </si>
  <si>
    <t>A10</t>
  </si>
  <si>
    <t>A11</t>
  </si>
  <si>
    <t>A12</t>
  </si>
  <si>
    <t>B01</t>
  </si>
  <si>
    <t>B02</t>
  </si>
  <si>
    <t>B03</t>
  </si>
  <si>
    <t>B10</t>
  </si>
  <si>
    <t>B11</t>
  </si>
  <si>
    <t>B12</t>
  </si>
  <si>
    <t>C10</t>
  </si>
  <si>
    <t>C11</t>
  </si>
  <si>
    <t>C12</t>
  </si>
  <si>
    <t>D10</t>
  </si>
  <si>
    <t>D11</t>
  </si>
  <si>
    <t>D12</t>
  </si>
  <si>
    <t>E10</t>
  </si>
  <si>
    <t>E11</t>
  </si>
  <si>
    <t>E12</t>
  </si>
  <si>
    <t>F10</t>
  </si>
  <si>
    <t>F11</t>
  </si>
  <si>
    <t>F12</t>
  </si>
  <si>
    <t>G10</t>
  </si>
  <si>
    <t>G11</t>
  </si>
  <si>
    <t>G12</t>
  </si>
  <si>
    <t>H10</t>
  </si>
  <si>
    <t>H11</t>
  </si>
  <si>
    <t>H12</t>
  </si>
  <si>
    <t>C04</t>
  </si>
  <si>
    <t>C05</t>
  </si>
  <si>
    <t>C06</t>
  </si>
  <si>
    <t>D04</t>
  </si>
  <si>
    <t>D05</t>
  </si>
  <si>
    <t>D06</t>
  </si>
  <si>
    <t>E04</t>
  </si>
  <si>
    <t>E05</t>
  </si>
  <si>
    <t>E06</t>
  </si>
  <si>
    <t>F04</t>
  </si>
  <si>
    <t>F05</t>
  </si>
  <si>
    <t>F06</t>
  </si>
  <si>
    <t>G07</t>
  </si>
  <si>
    <t>G08</t>
  </si>
  <si>
    <t>G09</t>
  </si>
  <si>
    <t>H07</t>
  </si>
  <si>
    <t>H08</t>
  </si>
  <si>
    <t>H09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</si>
</sst>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0.0000"/>
    <numFmt numFmtId="169" formatCode="0.000"/>
  </numFmts>
  <fonts count="4" x14ac:knownFonts="1">
    <font>
      <sz val="12"/>
      <color theme="1"/>
      <name val="Calibri"/>
      <family val="2"/>
      <scheme val="minor"/>
    </font>
    <font>
      <sz val="12"/>
      <name val="Microsoft Sans Serif"/>
      <family val="2"/>
    </font>
    <font>
      <sz val="14"/>
      <name val="Calibri"/>
      <family val="2"/>
      <scheme val="minor"/>
    </font>
    <font>
      <u/>
      <sz val="12"/>
      <name val="Microsoft Sans Serif"/>
      <family val="2"/>
    </font>
  </fonts>
  <fills count="7">
    <fill>
      <patternFill patternType="none"/>
    </fill>
    <fill>
      <patternFill patternType="gray125"/>
    </fill>
    <fill>
      <patternFill patternType="solid">
        <fgColor rgb="FFA9C4E9"/>
        <bgColor rgb="FF000000"/>
      </patternFill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2" borderId="0" xfId="0" applyNumberFormat="1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" fillId="4" borderId="0" xfId="0" applyFont="1" applyFill="1" applyAlignment="1" applyProtection="1">
      <alignment horizontal="center" vertical="center"/>
      <protection locked="0"/>
    </xf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7" fontId="1" fillId="0" borderId="1" xfId="0" applyNumberFormat="1" applyFont="1" applyBorder="1" applyAlignment="1">
      <alignment vertical="center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5" borderId="4" xfId="0" applyFont="1" applyFill="1" applyBorder="1" applyAlignment="1" applyProtection="1">
      <alignment horizontal="center" vertical="center"/>
      <protection locked="0"/>
    </xf>
    <xf numFmtId="0" fontId="1" fillId="6" borderId="4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49" fontId="3" fillId="6" borderId="6" xfId="0" applyNumberFormat="1" applyFont="1" applyFill="1" applyBorder="1" applyAlignment="1">
      <alignment vertical="center"/>
    </xf>
    <xf numFmtId="0" fontId="1" fillId="5" borderId="4" xfId="0" applyFont="1" applyFill="1" applyBorder="1" applyAlignment="1" applyProtection="1">
      <alignment horizontal="center" vertical="center" wrapText="1"/>
      <protection locked="0"/>
    </xf>
    <xf numFmtId="168" fontId="2" fillId="0" borderId="2" xfId="0" applyNumberFormat="1" applyFont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6" borderId="4" xfId="0" applyNumberFormat="1" applyFont="1" applyFill="1" applyBorder="1" applyAlignment="1">
      <alignment horizontal="center"/>
    </xf>
    <xf numFmtId="168" fontId="2" fillId="0" borderId="3" xfId="0" applyNumberFormat="1" applyFont="1" applyBorder="1" applyAlignment="1">
      <alignment horizontal="center"/>
    </xf>
    <xf numFmtId="168" fontId="1" fillId="6" borderId="5" xfId="0" applyNumberFormat="1" applyFont="1" applyFill="1" applyBorder="1" applyAlignment="1">
      <alignment horizontal="center"/>
    </xf>
    <xf numFmtId="169" fontId="1" fillId="0" borderId="0" xfId="0" applyNumberFormat="1" applyFont="1" applyAlignment="1">
      <alignment vertical="center"/>
    </xf>
    <xf numFmtId="169" fontId="1" fillId="0" borderId="1" xfId="0" applyNumberFormat="1" applyFont="1" applyBorder="1" applyAlignment="1">
      <alignment vertical="center"/>
    </xf>
    <xf numFmtId="169" fontId="3" fillId="6" borderId="6" xfId="0" applyNumberFormat="1" applyFont="1" applyFill="1" applyBorder="1" applyAlignment="1">
      <alignment vertical="center"/>
    </xf>
    <xf numFmtId="169" fontId="2" fillId="0" borderId="2" xfId="0" applyNumberFormat="1" applyFont="1" applyBorder="1" applyAlignment="1">
      <alignment horizontal="center"/>
    </xf>
    <xf numFmtId="169" fontId="1" fillId="0" borderId="0" xfId="0" applyNumberFormat="1" applyFont="1" applyAlignment="1">
      <alignment horizontal="center"/>
    </xf>
    <xf numFmtId="169" fontId="1" fillId="6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A28A-F00D-4E4A-A7D7-F0E47BAD94F7}">
  <dimension ref="A1:AC135"/>
  <sheetViews>
    <sheetView workbookViewId="0">
      <selection activeCell="C15" sqref="C15"/>
    </sheetView>
  </sheetViews>
  <sheetFormatPr baseColWidth="10" defaultColWidth="6.6640625" defaultRowHeight="16" x14ac:dyDescent="0.2"/>
  <cols>
    <col min="1" max="1" width="1" style="4" customWidth="1"/>
    <col min="2" max="3" width="6.6640625" style="5"/>
    <col min="4" max="4" width="8.83203125" style="5" customWidth="1"/>
    <col min="5" max="5" width="8.33203125" style="5" bestFit="1" customWidth="1"/>
    <col min="6" max="6" width="16.33203125" style="5" bestFit="1" customWidth="1"/>
    <col min="7" max="7" width="20.1640625" style="5" bestFit="1" customWidth="1"/>
    <col min="8" max="8" width="10" style="6" customWidth="1"/>
    <col min="9" max="9" width="8.83203125" style="6" customWidth="1"/>
    <col min="10" max="10" width="10" style="7" customWidth="1"/>
    <col min="11" max="11" width="12.1640625" style="8" hidden="1" customWidth="1"/>
    <col min="12" max="12" width="12.1640625" style="7" hidden="1" customWidth="1"/>
    <col min="13" max="14" width="12.1640625" style="8" hidden="1" customWidth="1"/>
    <col min="15" max="15" width="6.6640625" style="9" hidden="1" customWidth="1"/>
    <col min="16" max="16" width="12.1640625" style="5" hidden="1" customWidth="1"/>
    <col min="17" max="17" width="3.5" style="10" customWidth="1"/>
    <col min="18" max="18" width="11.83203125" style="10" customWidth="1"/>
    <col min="19" max="19" width="14.83203125" style="10" customWidth="1"/>
    <col min="20" max="20" width="18.5" style="10" customWidth="1"/>
    <col min="21" max="21" width="3.5" style="10" customWidth="1"/>
    <col min="22" max="22" width="11.83203125" style="10" customWidth="1"/>
    <col min="23" max="23" width="15.33203125" style="10" customWidth="1"/>
    <col min="24" max="24" width="19.33203125" style="10" customWidth="1"/>
    <col min="25" max="25" width="3.5" style="10" customWidth="1"/>
    <col min="26" max="26" width="11.83203125" style="10" customWidth="1"/>
    <col min="27" max="27" width="15.5" style="10" customWidth="1"/>
    <col min="28" max="28" width="18.83203125" style="10" customWidth="1"/>
    <col min="29" max="29" width="3.5" style="10" customWidth="1"/>
    <col min="30" max="16384" width="6.6640625" style="10"/>
  </cols>
  <sheetData>
    <row r="1" spans="1:29" s="3" customFormat="1" ht="30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8"/>
      <c r="R1" s="15" t="s">
        <v>101</v>
      </c>
      <c r="S1" s="2" t="s">
        <v>102</v>
      </c>
      <c r="T1" s="2" t="s">
        <v>103</v>
      </c>
      <c r="U1" s="22"/>
      <c r="V1" s="15" t="s">
        <v>104</v>
      </c>
      <c r="W1" s="2" t="s">
        <v>105</v>
      </c>
      <c r="X1" s="2" t="s">
        <v>106</v>
      </c>
      <c r="Y1" s="22"/>
      <c r="Z1" s="15" t="s">
        <v>107</v>
      </c>
      <c r="AA1" s="2" t="s">
        <v>108</v>
      </c>
      <c r="AB1" s="2" t="s">
        <v>109</v>
      </c>
      <c r="AC1" s="18"/>
    </row>
    <row r="2" spans="1:29" ht="15" customHeight="1" x14ac:dyDescent="0.25">
      <c r="B2" s="5" t="s">
        <v>274</v>
      </c>
      <c r="C2" s="5" t="s">
        <v>15</v>
      </c>
      <c r="D2" s="5" t="s">
        <v>16</v>
      </c>
      <c r="E2" s="5" t="s">
        <v>20</v>
      </c>
      <c r="F2" s="5" t="s">
        <v>259</v>
      </c>
      <c r="G2" s="5" t="s">
        <v>17</v>
      </c>
      <c r="H2" s="6">
        <v>22.704957268400101</v>
      </c>
      <c r="I2" s="28">
        <f>AVERAGE(H2:H4)</f>
        <v>22.797783879990302</v>
      </c>
      <c r="J2" s="28">
        <f>_xlfn.STDEV.S(H2:H4)</f>
        <v>0.14938011111363486</v>
      </c>
      <c r="Q2" s="19"/>
      <c r="R2" s="31">
        <f>I2/I36</f>
        <v>1.0194389427990145</v>
      </c>
      <c r="S2" s="32">
        <f>I2-I36</f>
        <v>0.43471442788976944</v>
      </c>
      <c r="T2" s="32">
        <f>POWER(2,S2)</f>
        <v>1.351643257545309</v>
      </c>
      <c r="U2" s="33"/>
      <c r="V2" s="31">
        <f>I2/I70</f>
        <v>1.0828398558940424</v>
      </c>
      <c r="W2" s="32">
        <f>I2-I70</f>
        <v>1.7440853520880353</v>
      </c>
      <c r="X2" s="32">
        <f>POWER(2,W2)</f>
        <v>3.3498241249896799</v>
      </c>
      <c r="Y2" s="33"/>
      <c r="Z2" s="31">
        <f>I2/I104</f>
        <v>1.0685578792859742</v>
      </c>
      <c r="AA2" s="32">
        <f>I2-I104</f>
        <v>1.4626888683620045</v>
      </c>
      <c r="AB2" s="32">
        <f>POWER(2,AA2)</f>
        <v>2.7562158362959681</v>
      </c>
      <c r="AC2" s="19"/>
    </row>
    <row r="3" spans="1:29" ht="15" customHeight="1" x14ac:dyDescent="0.25">
      <c r="B3" s="5" t="s">
        <v>275</v>
      </c>
      <c r="C3" s="5" t="s">
        <v>15</v>
      </c>
      <c r="D3" s="5" t="s">
        <v>16</v>
      </c>
      <c r="E3" s="5" t="s">
        <v>20</v>
      </c>
      <c r="F3" s="5" t="s">
        <v>259</v>
      </c>
      <c r="G3" s="5" t="s">
        <v>18</v>
      </c>
      <c r="H3" s="6">
        <v>22.718293124167701</v>
      </c>
      <c r="I3" s="28"/>
      <c r="J3" s="28"/>
      <c r="Q3" s="19"/>
      <c r="R3" s="31"/>
      <c r="S3" s="32"/>
      <c r="T3" s="32"/>
      <c r="U3" s="33"/>
      <c r="V3" s="31"/>
      <c r="W3" s="32"/>
      <c r="X3" s="32"/>
      <c r="Y3" s="33"/>
      <c r="Z3" s="31"/>
      <c r="AA3" s="32"/>
      <c r="AB3" s="32"/>
      <c r="AC3" s="19"/>
    </row>
    <row r="4" spans="1:29" ht="15" customHeight="1" x14ac:dyDescent="0.25">
      <c r="B4" s="5" t="s">
        <v>276</v>
      </c>
      <c r="C4" s="5" t="s">
        <v>15</v>
      </c>
      <c r="D4" s="5" t="s">
        <v>16</v>
      </c>
      <c r="E4" s="5" t="s">
        <v>20</v>
      </c>
      <c r="F4" s="5" t="s">
        <v>259</v>
      </c>
      <c r="G4" s="5" t="s">
        <v>19</v>
      </c>
      <c r="H4" s="6">
        <v>22.9701012474031</v>
      </c>
      <c r="I4" s="28"/>
      <c r="J4" s="28"/>
      <c r="Q4" s="19"/>
      <c r="R4" s="31"/>
      <c r="S4" s="32"/>
      <c r="T4" s="32"/>
      <c r="U4" s="33"/>
      <c r="V4" s="31"/>
      <c r="W4" s="32"/>
      <c r="X4" s="32"/>
      <c r="Y4" s="33"/>
      <c r="Z4" s="31"/>
      <c r="AA4" s="32"/>
      <c r="AB4" s="32"/>
      <c r="AC4" s="19"/>
    </row>
    <row r="5" spans="1:29" ht="15" customHeight="1" x14ac:dyDescent="0.25">
      <c r="H5" s="28"/>
      <c r="I5" s="28"/>
      <c r="J5" s="28"/>
      <c r="Q5" s="19"/>
      <c r="R5" s="31"/>
      <c r="S5" s="32"/>
      <c r="T5" s="32"/>
      <c r="U5" s="33"/>
      <c r="V5" s="31"/>
      <c r="W5" s="32"/>
      <c r="X5" s="32"/>
      <c r="Y5" s="33"/>
      <c r="Z5" s="31"/>
      <c r="AA5" s="32"/>
      <c r="AB5" s="32"/>
      <c r="AC5" s="19"/>
    </row>
    <row r="6" spans="1:29" ht="15" customHeight="1" x14ac:dyDescent="0.25">
      <c r="B6" s="5" t="s">
        <v>280</v>
      </c>
      <c r="C6" s="5" t="s">
        <v>15</v>
      </c>
      <c r="D6" s="5" t="s">
        <v>16</v>
      </c>
      <c r="E6" s="5" t="s">
        <v>20</v>
      </c>
      <c r="F6" s="5" t="s">
        <v>110</v>
      </c>
      <c r="G6" s="5" t="s">
        <v>17</v>
      </c>
      <c r="H6" s="6">
        <v>21.289995588616598</v>
      </c>
      <c r="I6" s="28">
        <f>AVERAGE(H6:H8)</f>
        <v>21.443235964643602</v>
      </c>
      <c r="J6" s="28">
        <f>_xlfn.STDEV.S(H6:H8)</f>
        <v>0.30466413190792874</v>
      </c>
      <c r="Q6" s="19"/>
      <c r="R6" s="31">
        <f>I6/I40</f>
        <v>1.0052288924649706</v>
      </c>
      <c r="S6" s="32">
        <f>I6-I40</f>
        <v>0.11154113834230017</v>
      </c>
      <c r="T6" s="32">
        <f t="shared" ref="T6:T30" si="0">POWER(2,S6)</f>
        <v>1.0803817226195078</v>
      </c>
      <c r="U6" s="33"/>
      <c r="V6" s="31">
        <f>I6/I74</f>
        <v>1.0597237921445835</v>
      </c>
      <c r="W6" s="32">
        <f>I6-I74</f>
        <v>1.2084954373515693</v>
      </c>
      <c r="X6" s="32">
        <f>POWER(2,W6)</f>
        <v>2.310965043679857</v>
      </c>
      <c r="Y6" s="33"/>
      <c r="Z6" s="31">
        <f>I6/I108</f>
        <v>1.0507928197220613</v>
      </c>
      <c r="AA6" s="32">
        <f>I6-I108</f>
        <v>1.036514903954</v>
      </c>
      <c r="AB6" s="32">
        <f t="shared" ref="AB6" si="1">POWER(2,AA6)</f>
        <v>2.0512664508077174</v>
      </c>
      <c r="AC6" s="19"/>
    </row>
    <row r="7" spans="1:29" ht="15" customHeight="1" x14ac:dyDescent="0.25">
      <c r="B7" s="5" t="s">
        <v>281</v>
      </c>
      <c r="C7" s="5" t="s">
        <v>15</v>
      </c>
      <c r="D7" s="5" t="s">
        <v>16</v>
      </c>
      <c r="E7" s="5" t="s">
        <v>20</v>
      </c>
      <c r="F7" s="5" t="s">
        <v>110</v>
      </c>
      <c r="G7" s="5" t="s">
        <v>18</v>
      </c>
      <c r="H7" s="6">
        <v>21.2456148836301</v>
      </c>
      <c r="I7" s="28"/>
      <c r="J7" s="28"/>
      <c r="Q7" s="19"/>
      <c r="R7" s="31"/>
      <c r="S7" s="32"/>
      <c r="T7" s="32"/>
      <c r="U7" s="33"/>
      <c r="V7" s="31"/>
      <c r="W7" s="32"/>
      <c r="X7" s="32"/>
      <c r="Y7" s="33"/>
      <c r="Z7" s="31"/>
      <c r="AA7" s="32"/>
      <c r="AB7" s="32"/>
      <c r="AC7" s="19"/>
    </row>
    <row r="8" spans="1:29" ht="15" customHeight="1" x14ac:dyDescent="0.25">
      <c r="B8" s="5" t="s">
        <v>282</v>
      </c>
      <c r="C8" s="5" t="s">
        <v>15</v>
      </c>
      <c r="D8" s="5" t="s">
        <v>16</v>
      </c>
      <c r="E8" s="5" t="s">
        <v>20</v>
      </c>
      <c r="F8" s="5" t="s">
        <v>110</v>
      </c>
      <c r="G8" s="5" t="s">
        <v>19</v>
      </c>
      <c r="H8" s="6">
        <v>21.7940974216841</v>
      </c>
      <c r="I8" s="28"/>
      <c r="J8" s="28"/>
      <c r="Q8" s="19"/>
      <c r="R8" s="31"/>
      <c r="S8" s="32"/>
      <c r="T8" s="32"/>
      <c r="U8" s="33"/>
      <c r="V8" s="31"/>
      <c r="W8" s="32"/>
      <c r="X8" s="32"/>
      <c r="Y8" s="33"/>
      <c r="Z8" s="31"/>
      <c r="AA8" s="32"/>
      <c r="AB8" s="32"/>
      <c r="AC8" s="19"/>
    </row>
    <row r="9" spans="1:29" ht="15" customHeight="1" x14ac:dyDescent="0.25">
      <c r="H9" s="28"/>
      <c r="I9" s="28"/>
      <c r="J9" s="28"/>
      <c r="Q9" s="19"/>
      <c r="R9" s="31"/>
      <c r="S9" s="32"/>
      <c r="T9" s="32"/>
      <c r="U9" s="33"/>
      <c r="V9" s="31"/>
      <c r="W9" s="32"/>
      <c r="X9" s="32"/>
      <c r="Y9" s="33"/>
      <c r="Z9" s="31"/>
      <c r="AA9" s="32"/>
      <c r="AB9" s="32"/>
      <c r="AC9" s="19"/>
    </row>
    <row r="10" spans="1:29" ht="15" customHeight="1" x14ac:dyDescent="0.25">
      <c r="B10" s="5" t="s">
        <v>283</v>
      </c>
      <c r="C10" s="5" t="s">
        <v>15</v>
      </c>
      <c r="D10" s="5" t="s">
        <v>16</v>
      </c>
      <c r="E10" s="5" t="s">
        <v>20</v>
      </c>
      <c r="F10" s="5" t="s">
        <v>111</v>
      </c>
      <c r="G10" s="5" t="s">
        <v>17</v>
      </c>
      <c r="H10" s="6">
        <v>21.113663337481501</v>
      </c>
      <c r="I10" s="28">
        <f>AVERAGE(H10:H12)</f>
        <v>21.266753129096401</v>
      </c>
      <c r="J10" s="28">
        <f>_xlfn.STDEV.S(H10:H12)</f>
        <v>0.2213303629208189</v>
      </c>
      <c r="Q10" s="19"/>
      <c r="R10" s="31">
        <f>I10/I44</f>
        <v>1.0207738713122565</v>
      </c>
      <c r="S10" s="32">
        <f>I10-I44</f>
        <v>0.4328018233513653</v>
      </c>
      <c r="T10" s="32">
        <f t="shared" si="0"/>
        <v>1.3498525491013595</v>
      </c>
      <c r="U10" s="33"/>
      <c r="V10" s="31">
        <f>I10/I78</f>
        <v>1.0547843543302255</v>
      </c>
      <c r="W10" s="32">
        <f>I10-I78</f>
        <v>1.1045720711487661</v>
      </c>
      <c r="X10" s="32">
        <f t="shared" ref="X10" si="2">POWER(2,W10)</f>
        <v>2.1503508542347678</v>
      </c>
      <c r="Y10" s="33"/>
      <c r="Z10" s="31">
        <f>I10/I112</f>
        <v>1.0622790130090645</v>
      </c>
      <c r="AA10" s="32">
        <f>I10-I112</f>
        <v>1.2468215775399649</v>
      </c>
      <c r="AB10" s="32">
        <f t="shared" ref="AB10" si="3">POWER(2,AA10)</f>
        <v>2.3731800788038959</v>
      </c>
      <c r="AC10" s="19"/>
    </row>
    <row r="11" spans="1:29" ht="15" customHeight="1" x14ac:dyDescent="0.25">
      <c r="B11" s="5" t="s">
        <v>284</v>
      </c>
      <c r="C11" s="5" t="s">
        <v>15</v>
      </c>
      <c r="D11" s="5" t="s">
        <v>16</v>
      </c>
      <c r="E11" s="5" t="s">
        <v>20</v>
      </c>
      <c r="F11" s="5" t="s">
        <v>111</v>
      </c>
      <c r="G11" s="5" t="s">
        <v>18</v>
      </c>
      <c r="H11" s="6">
        <v>21.166070018290501</v>
      </c>
      <c r="I11" s="28"/>
      <c r="J11" s="28"/>
      <c r="N11" s="8">
        <v>0</v>
      </c>
      <c r="O11" s="9">
        <v>60</v>
      </c>
      <c r="P11" s="5" t="s">
        <v>16</v>
      </c>
      <c r="Q11" s="19"/>
      <c r="R11" s="31"/>
      <c r="S11" s="32"/>
      <c r="T11" s="32"/>
      <c r="U11" s="33"/>
      <c r="V11" s="31"/>
      <c r="W11" s="32"/>
      <c r="X11" s="32"/>
      <c r="Y11" s="33"/>
      <c r="Z11" s="31"/>
      <c r="AA11" s="32"/>
      <c r="AB11" s="32"/>
      <c r="AC11" s="19"/>
    </row>
    <row r="12" spans="1:29" ht="15" customHeight="1" x14ac:dyDescent="0.25">
      <c r="B12" s="5" t="s">
        <v>285</v>
      </c>
      <c r="C12" s="5" t="s">
        <v>15</v>
      </c>
      <c r="D12" s="5" t="s">
        <v>16</v>
      </c>
      <c r="E12" s="5" t="s">
        <v>20</v>
      </c>
      <c r="F12" s="5" t="s">
        <v>111</v>
      </c>
      <c r="G12" s="5" t="s">
        <v>19</v>
      </c>
      <c r="H12" s="6">
        <v>21.5205260315172</v>
      </c>
      <c r="I12" s="28"/>
      <c r="J12" s="28"/>
      <c r="N12" s="8">
        <v>0</v>
      </c>
      <c r="O12" s="9">
        <v>60</v>
      </c>
      <c r="P12" s="5" t="s">
        <v>16</v>
      </c>
      <c r="Q12" s="19"/>
      <c r="R12" s="31"/>
      <c r="S12" s="32"/>
      <c r="T12" s="32"/>
      <c r="U12" s="33"/>
      <c r="V12" s="31"/>
      <c r="W12" s="32"/>
      <c r="X12" s="32"/>
      <c r="Y12" s="33"/>
      <c r="Z12" s="31"/>
      <c r="AA12" s="32"/>
      <c r="AB12" s="32"/>
      <c r="AC12" s="19"/>
    </row>
    <row r="13" spans="1:29" ht="15" customHeight="1" x14ac:dyDescent="0.25">
      <c r="H13" s="28"/>
      <c r="I13" s="28"/>
      <c r="J13" s="28"/>
      <c r="N13" s="8">
        <v>0</v>
      </c>
      <c r="O13" s="9">
        <v>60</v>
      </c>
      <c r="P13" s="5" t="s">
        <v>16</v>
      </c>
      <c r="Q13" s="19"/>
      <c r="R13" s="31"/>
      <c r="S13" s="32"/>
      <c r="T13" s="32"/>
      <c r="U13" s="33"/>
      <c r="V13" s="31"/>
      <c r="W13" s="32"/>
      <c r="X13" s="32"/>
      <c r="Y13" s="33"/>
      <c r="Z13" s="31"/>
      <c r="AA13" s="32"/>
      <c r="AB13" s="32"/>
      <c r="AC13" s="19"/>
    </row>
    <row r="14" spans="1:29" ht="15" customHeight="1" x14ac:dyDescent="0.25">
      <c r="B14" s="5" t="s">
        <v>286</v>
      </c>
      <c r="C14" s="5" t="s">
        <v>15</v>
      </c>
      <c r="D14" s="5" t="s">
        <v>16</v>
      </c>
      <c r="E14" s="5" t="s">
        <v>20</v>
      </c>
      <c r="F14" s="5" t="s">
        <v>112</v>
      </c>
      <c r="G14" s="5" t="s">
        <v>17</v>
      </c>
      <c r="H14" s="6">
        <v>21.6208108620662</v>
      </c>
      <c r="I14" s="28">
        <f>AVERAGE(H14:H16)</f>
        <v>21.4826195651811</v>
      </c>
      <c r="J14" s="28">
        <f>_xlfn.STDEV.S(H14:H16)</f>
        <v>0.157526534924847</v>
      </c>
      <c r="N14" s="8">
        <v>0</v>
      </c>
      <c r="O14" s="9">
        <v>60</v>
      </c>
      <c r="P14" s="5" t="s">
        <v>16</v>
      </c>
      <c r="Q14" s="19"/>
      <c r="R14" s="31">
        <f>I14/I48</f>
        <v>0.99351653620617331</v>
      </c>
      <c r="S14" s="32">
        <f>I14-I48</f>
        <v>-0.14019070752386753</v>
      </c>
      <c r="T14" s="32">
        <f t="shared" si="0"/>
        <v>0.90739919975648997</v>
      </c>
      <c r="U14" s="33"/>
      <c r="V14" s="31">
        <f>I14/I82</f>
        <v>1.0519362103276193</v>
      </c>
      <c r="W14" s="32">
        <f>I14-I82</f>
        <v>1.0606402148453355</v>
      </c>
      <c r="X14" s="32">
        <f t="shared" ref="X14" si="4">POWER(2,W14)</f>
        <v>2.0858569427075317</v>
      </c>
      <c r="Y14" s="33"/>
      <c r="Z14" s="31">
        <f>I14/I116</f>
        <v>1.0582524919437808</v>
      </c>
      <c r="AA14" s="32">
        <f>I14-I116</f>
        <v>1.182530759604866</v>
      </c>
      <c r="AB14" s="32">
        <f t="shared" ref="AB14" si="5">POWER(2,AA14)</f>
        <v>2.2697458433556892</v>
      </c>
      <c r="AC14" s="19"/>
    </row>
    <row r="15" spans="1:29" ht="15" customHeight="1" x14ac:dyDescent="0.25">
      <c r="B15" s="5" t="s">
        <v>287</v>
      </c>
      <c r="C15" s="5" t="s">
        <v>15</v>
      </c>
      <c r="D15" s="5" t="s">
        <v>16</v>
      </c>
      <c r="E15" s="5" t="s">
        <v>20</v>
      </c>
      <c r="F15" s="5" t="s">
        <v>112</v>
      </c>
      <c r="G15" s="5" t="s">
        <v>18</v>
      </c>
      <c r="H15" s="6">
        <v>21.311093534017701</v>
      </c>
      <c r="I15" s="28"/>
      <c r="J15" s="28"/>
      <c r="N15" s="8">
        <v>0</v>
      </c>
      <c r="O15" s="9">
        <v>60</v>
      </c>
      <c r="P15" s="5" t="s">
        <v>16</v>
      </c>
      <c r="Q15" s="19"/>
      <c r="R15" s="31"/>
      <c r="S15" s="32"/>
      <c r="T15" s="32"/>
      <c r="U15" s="33"/>
      <c r="V15" s="31"/>
      <c r="W15" s="32"/>
      <c r="X15" s="32"/>
      <c r="Y15" s="33"/>
      <c r="Z15" s="31"/>
      <c r="AA15" s="32"/>
      <c r="AB15" s="32"/>
      <c r="AC15" s="19"/>
    </row>
    <row r="16" spans="1:29" ht="15" customHeight="1" x14ac:dyDescent="0.25">
      <c r="B16" s="5" t="s">
        <v>288</v>
      </c>
      <c r="C16" s="5" t="s">
        <v>15</v>
      </c>
      <c r="D16" s="5" t="s">
        <v>16</v>
      </c>
      <c r="E16" s="5" t="s">
        <v>20</v>
      </c>
      <c r="F16" s="5" t="s">
        <v>112</v>
      </c>
      <c r="G16" s="5" t="s">
        <v>19</v>
      </c>
      <c r="H16" s="6">
        <v>21.515954299459398</v>
      </c>
      <c r="I16" s="28"/>
      <c r="J16" s="28"/>
      <c r="N16" s="8">
        <v>0</v>
      </c>
      <c r="O16" s="9">
        <v>60</v>
      </c>
      <c r="P16" s="5" t="s">
        <v>16</v>
      </c>
      <c r="Q16" s="19"/>
      <c r="R16" s="31"/>
      <c r="S16" s="32"/>
      <c r="T16" s="32"/>
      <c r="U16" s="33"/>
      <c r="V16" s="31"/>
      <c r="W16" s="32"/>
      <c r="X16" s="32"/>
      <c r="Y16" s="33"/>
      <c r="Z16" s="31"/>
      <c r="AA16" s="32"/>
      <c r="AB16" s="32"/>
      <c r="AC16" s="19"/>
    </row>
    <row r="17" spans="2:29" ht="15" customHeight="1" x14ac:dyDescent="0.25">
      <c r="H17" s="28"/>
      <c r="I17" s="28"/>
      <c r="J17" s="28"/>
      <c r="N17" s="8">
        <v>0</v>
      </c>
      <c r="O17" s="9">
        <v>60</v>
      </c>
      <c r="P17" s="5" t="s">
        <v>16</v>
      </c>
      <c r="Q17" s="19"/>
      <c r="R17" s="31"/>
      <c r="S17" s="32"/>
      <c r="T17" s="32"/>
      <c r="U17" s="33"/>
      <c r="V17" s="31"/>
      <c r="W17" s="32"/>
      <c r="X17" s="32"/>
      <c r="Y17" s="33"/>
      <c r="Z17" s="31"/>
      <c r="AA17" s="32"/>
      <c r="AB17" s="32"/>
      <c r="AC17" s="19"/>
    </row>
    <row r="18" spans="2:29" ht="15" customHeight="1" x14ac:dyDescent="0.25">
      <c r="B18" s="5" t="s">
        <v>289</v>
      </c>
      <c r="C18" s="5" t="s">
        <v>15</v>
      </c>
      <c r="D18" s="5" t="s">
        <v>16</v>
      </c>
      <c r="E18" s="5" t="s">
        <v>20</v>
      </c>
      <c r="F18" s="5" t="s">
        <v>113</v>
      </c>
      <c r="G18" s="5" t="s">
        <v>17</v>
      </c>
      <c r="H18" s="6">
        <v>21.754406154510601</v>
      </c>
      <c r="I18" s="28">
        <f>AVERAGE(H18:H20)</f>
        <v>21.822327818030001</v>
      </c>
      <c r="J18" s="28">
        <f>_xlfn.STDEV.S(H18:H20)</f>
        <v>0.186797632877133</v>
      </c>
      <c r="Q18" s="19"/>
      <c r="R18" s="31">
        <f>I18/I52</f>
        <v>1.0214914690444243</v>
      </c>
      <c r="S18" s="32">
        <f>I18-I52</f>
        <v>0.45912657813696711</v>
      </c>
      <c r="T18" s="32">
        <f t="shared" si="0"/>
        <v>1.3747093035344216</v>
      </c>
      <c r="U18" s="33"/>
      <c r="V18" s="31">
        <f>I18/I86</f>
        <v>1.0832406897545594</v>
      </c>
      <c r="W18" s="32">
        <f>I18-I86</f>
        <v>1.6769178233458994</v>
      </c>
      <c r="X18" s="32">
        <f t="shared" ref="X18" si="6">POWER(2,W18)</f>
        <v>3.197441188322462</v>
      </c>
      <c r="Y18" s="33"/>
      <c r="Z18" s="31">
        <f>I18/I120</f>
        <v>1.0587532026524666</v>
      </c>
      <c r="AA18" s="32">
        <f>I18-I120</f>
        <v>1.2109825457237662</v>
      </c>
      <c r="AB18" s="32">
        <f t="shared" ref="AB18" si="7">POWER(2,AA18)</f>
        <v>2.3149524266312205</v>
      </c>
      <c r="AC18" s="19"/>
    </row>
    <row r="19" spans="2:29" ht="15" customHeight="1" x14ac:dyDescent="0.25">
      <c r="B19" s="5" t="s">
        <v>290</v>
      </c>
      <c r="C19" s="5" t="s">
        <v>15</v>
      </c>
      <c r="D19" s="5" t="s">
        <v>16</v>
      </c>
      <c r="E19" s="5" t="s">
        <v>20</v>
      </c>
      <c r="F19" s="5" t="s">
        <v>113</v>
      </c>
      <c r="G19" s="5" t="s">
        <v>18</v>
      </c>
      <c r="H19" s="6">
        <v>21.678994145173601</v>
      </c>
      <c r="I19" s="28"/>
      <c r="J19" s="28"/>
      <c r="Q19" s="19"/>
      <c r="R19" s="31"/>
      <c r="S19" s="32"/>
      <c r="T19" s="32"/>
      <c r="U19" s="33"/>
      <c r="V19" s="31"/>
      <c r="W19" s="32"/>
      <c r="X19" s="32"/>
      <c r="Y19" s="33"/>
      <c r="Z19" s="31"/>
      <c r="AA19" s="32"/>
      <c r="AB19" s="32"/>
      <c r="AC19" s="19"/>
    </row>
    <row r="20" spans="2:29" ht="15" customHeight="1" x14ac:dyDescent="0.25">
      <c r="B20" s="5" t="s">
        <v>291</v>
      </c>
      <c r="C20" s="5" t="s">
        <v>15</v>
      </c>
      <c r="D20" s="5" t="s">
        <v>16</v>
      </c>
      <c r="E20" s="5" t="s">
        <v>20</v>
      </c>
      <c r="F20" s="5" t="s">
        <v>113</v>
      </c>
      <c r="G20" s="5" t="s">
        <v>19</v>
      </c>
      <c r="H20" s="6">
        <v>22.0335831544058</v>
      </c>
      <c r="I20" s="28"/>
      <c r="J20" s="28"/>
      <c r="Q20" s="19"/>
      <c r="R20" s="31"/>
      <c r="S20" s="32"/>
      <c r="T20" s="32"/>
      <c r="U20" s="33"/>
      <c r="V20" s="31"/>
      <c r="W20" s="32"/>
      <c r="X20" s="32"/>
      <c r="Y20" s="33"/>
      <c r="Z20" s="31"/>
      <c r="AA20" s="32"/>
      <c r="AB20" s="32"/>
      <c r="AC20" s="19"/>
    </row>
    <row r="21" spans="2:29" ht="15" customHeight="1" x14ac:dyDescent="0.25">
      <c r="H21" s="28"/>
      <c r="I21" s="28"/>
      <c r="J21" s="28"/>
      <c r="N21" s="8">
        <v>0</v>
      </c>
      <c r="O21" s="9">
        <v>60</v>
      </c>
      <c r="P21" s="5" t="s">
        <v>16</v>
      </c>
      <c r="Q21" s="19"/>
      <c r="R21" s="31"/>
      <c r="S21" s="32"/>
      <c r="T21" s="32"/>
      <c r="U21" s="33"/>
      <c r="V21" s="31"/>
      <c r="W21" s="32"/>
      <c r="X21" s="32"/>
      <c r="Y21" s="33"/>
      <c r="Z21" s="31"/>
      <c r="AA21" s="32"/>
      <c r="AB21" s="32"/>
      <c r="AC21" s="19"/>
    </row>
    <row r="22" spans="2:29" ht="15" customHeight="1" x14ac:dyDescent="0.25">
      <c r="B22" s="5" t="s">
        <v>292</v>
      </c>
      <c r="C22" s="5" t="s">
        <v>15</v>
      </c>
      <c r="D22" s="5" t="s">
        <v>16</v>
      </c>
      <c r="E22" s="5" t="s">
        <v>20</v>
      </c>
      <c r="F22" s="5" t="s">
        <v>114</v>
      </c>
      <c r="G22" s="5" t="s">
        <v>17</v>
      </c>
      <c r="H22" s="6">
        <v>21.933115726717201</v>
      </c>
      <c r="I22" s="28">
        <f>AVERAGE(H22:H24)</f>
        <v>21.968095222851701</v>
      </c>
      <c r="J22" s="28">
        <f>_xlfn.STDEV.S(H22:H24)</f>
        <v>0.26092741379672063</v>
      </c>
      <c r="Q22" s="19"/>
      <c r="R22" s="31">
        <f>I22/I56</f>
        <v>1.0041369303112782</v>
      </c>
      <c r="S22" s="32">
        <f>I22-I56</f>
        <v>9.0506061738299337E-2</v>
      </c>
      <c r="T22" s="32">
        <f t="shared" si="0"/>
        <v>1.0647436026778547</v>
      </c>
      <c r="U22" s="33"/>
      <c r="V22" s="31">
        <f>I22/I90</f>
        <v>1.0617964354948217</v>
      </c>
      <c r="W22" s="32">
        <f>I22-I90</f>
        <v>1.2785407202374017</v>
      </c>
      <c r="X22" s="32">
        <f t="shared" ref="X22" si="8">POWER(2,W22)</f>
        <v>2.4259347049474687</v>
      </c>
      <c r="Y22" s="33"/>
      <c r="Z22" s="31">
        <f>I22/I124</f>
        <v>1.0640891201404186</v>
      </c>
      <c r="AA22" s="32">
        <f>I22-I124</f>
        <v>1.3231183999021674</v>
      </c>
      <c r="AB22" s="32">
        <f t="shared" ref="AB22" si="9">POWER(2,AA22)</f>
        <v>2.5020634925445266</v>
      </c>
      <c r="AC22" s="19"/>
    </row>
    <row r="23" spans="2:29" ht="15" customHeight="1" x14ac:dyDescent="0.25">
      <c r="B23" s="5" t="s">
        <v>293</v>
      </c>
      <c r="C23" s="5" t="s">
        <v>15</v>
      </c>
      <c r="D23" s="5" t="s">
        <v>16</v>
      </c>
      <c r="E23" s="5" t="s">
        <v>20</v>
      </c>
      <c r="F23" s="5" t="s">
        <v>114</v>
      </c>
      <c r="G23" s="5" t="s">
        <v>18</v>
      </c>
      <c r="H23" s="6">
        <v>21.7264220078855</v>
      </c>
      <c r="I23" s="28"/>
      <c r="J23" s="28"/>
      <c r="Q23" s="19"/>
      <c r="R23" s="31"/>
      <c r="S23" s="32"/>
      <c r="T23" s="32"/>
      <c r="U23" s="33"/>
      <c r="V23" s="31"/>
      <c r="W23" s="32"/>
      <c r="X23" s="32"/>
      <c r="Y23" s="33"/>
      <c r="Z23" s="31"/>
      <c r="AA23" s="32"/>
      <c r="AB23" s="32"/>
      <c r="AC23" s="19"/>
    </row>
    <row r="24" spans="2:29" ht="15" customHeight="1" x14ac:dyDescent="0.25">
      <c r="B24" s="5" t="s">
        <v>294</v>
      </c>
      <c r="C24" s="5" t="s">
        <v>15</v>
      </c>
      <c r="D24" s="5" t="s">
        <v>16</v>
      </c>
      <c r="E24" s="5" t="s">
        <v>20</v>
      </c>
      <c r="F24" s="5" t="s">
        <v>114</v>
      </c>
      <c r="G24" s="5" t="s">
        <v>19</v>
      </c>
      <c r="H24" s="6">
        <v>22.2447479339524</v>
      </c>
      <c r="I24" s="28"/>
      <c r="J24" s="28"/>
      <c r="Q24" s="19"/>
      <c r="R24" s="31"/>
      <c r="S24" s="32"/>
      <c r="T24" s="32"/>
      <c r="U24" s="33"/>
      <c r="V24" s="31"/>
      <c r="W24" s="32"/>
      <c r="X24" s="32"/>
      <c r="Y24" s="33"/>
      <c r="Z24" s="31"/>
      <c r="AA24" s="32"/>
      <c r="AB24" s="32"/>
      <c r="AC24" s="19"/>
    </row>
    <row r="25" spans="2:29" ht="15" customHeight="1" x14ac:dyDescent="0.25">
      <c r="H25" s="28"/>
      <c r="I25" s="28"/>
      <c r="J25" s="28"/>
      <c r="Q25" s="19"/>
      <c r="R25" s="31"/>
      <c r="S25" s="32"/>
      <c r="T25" s="32"/>
      <c r="U25" s="33"/>
      <c r="V25" s="31"/>
      <c r="W25" s="32"/>
      <c r="X25" s="32"/>
      <c r="Y25" s="33"/>
      <c r="Z25" s="31"/>
      <c r="AA25" s="32"/>
      <c r="AB25" s="32"/>
      <c r="AC25" s="19"/>
    </row>
    <row r="26" spans="2:29" ht="15" customHeight="1" x14ac:dyDescent="0.25">
      <c r="B26" s="5" t="s">
        <v>295</v>
      </c>
      <c r="C26" s="5" t="s">
        <v>15</v>
      </c>
      <c r="D26" s="5" t="s">
        <v>16</v>
      </c>
      <c r="E26" s="5" t="s">
        <v>20</v>
      </c>
      <c r="F26" s="5" t="s">
        <v>115</v>
      </c>
      <c r="G26" s="5" t="s">
        <v>17</v>
      </c>
      <c r="H26" s="6">
        <v>21.517749210964698</v>
      </c>
      <c r="I26" s="28">
        <f>AVERAGE(H26:H28)</f>
        <v>21.597943431602364</v>
      </c>
      <c r="J26" s="28">
        <f>_xlfn.STDEV.S(H26:H28)</f>
        <v>0.16303098317529235</v>
      </c>
      <c r="N26" s="8">
        <v>0</v>
      </c>
      <c r="O26" s="9">
        <v>60</v>
      </c>
      <c r="P26" s="5" t="s">
        <v>16</v>
      </c>
      <c r="Q26" s="19"/>
      <c r="R26" s="31">
        <f>I26/I60</f>
        <v>1.0176644059840181</v>
      </c>
      <c r="S26" s="32">
        <f>I26-I60</f>
        <v>0.374892586349997</v>
      </c>
      <c r="T26" s="32">
        <f t="shared" si="0"/>
        <v>1.2967430040421877</v>
      </c>
      <c r="U26" s="33"/>
      <c r="V26" s="31">
        <f>I26/I94</f>
        <v>1.0725936611353502</v>
      </c>
      <c r="W26" s="32">
        <f>I26-I94</f>
        <v>1.4617593255535333</v>
      </c>
      <c r="X26" s="32">
        <f t="shared" ref="X26" si="10">POWER(2,W26)</f>
        <v>2.754440550912606</v>
      </c>
      <c r="Y26" s="33"/>
      <c r="Z26" s="31">
        <f>I26/I128</f>
        <v>1.0504429713664529</v>
      </c>
      <c r="AA26" s="32">
        <f>I26-I128</f>
        <v>1.03714763370483</v>
      </c>
      <c r="AB26" s="32">
        <f>POWER(2,AA26)</f>
        <v>2.0521662819762452</v>
      </c>
      <c r="AC26" s="19"/>
    </row>
    <row r="27" spans="2:29" ht="15" customHeight="1" x14ac:dyDescent="0.25">
      <c r="B27" s="5" t="s">
        <v>296</v>
      </c>
      <c r="C27" s="5" t="s">
        <v>15</v>
      </c>
      <c r="D27" s="5" t="s">
        <v>16</v>
      </c>
      <c r="E27" s="5" t="s">
        <v>20</v>
      </c>
      <c r="F27" s="5" t="s">
        <v>115</v>
      </c>
      <c r="G27" s="5" t="s">
        <v>18</v>
      </c>
      <c r="H27" s="6">
        <v>21.4905421802105</v>
      </c>
      <c r="I27" s="28"/>
      <c r="J27" s="28"/>
      <c r="N27" s="8">
        <v>0</v>
      </c>
      <c r="O27" s="9">
        <v>60</v>
      </c>
      <c r="P27" s="5" t="s">
        <v>16</v>
      </c>
      <c r="Q27" s="19"/>
      <c r="R27" s="31"/>
      <c r="S27" s="32"/>
      <c r="T27" s="32"/>
      <c r="U27" s="33"/>
      <c r="V27" s="31"/>
      <c r="W27" s="32"/>
      <c r="X27" s="32"/>
      <c r="Y27" s="33"/>
      <c r="Z27" s="31"/>
      <c r="AA27" s="32"/>
      <c r="AB27" s="32"/>
      <c r="AC27" s="19"/>
    </row>
    <row r="28" spans="2:29" ht="15" customHeight="1" x14ac:dyDescent="0.25">
      <c r="B28" s="5" t="s">
        <v>297</v>
      </c>
      <c r="C28" s="5" t="s">
        <v>15</v>
      </c>
      <c r="D28" s="5" t="s">
        <v>16</v>
      </c>
      <c r="E28" s="5" t="s">
        <v>20</v>
      </c>
      <c r="F28" s="5" t="s">
        <v>115</v>
      </c>
      <c r="G28" s="5" t="s">
        <v>19</v>
      </c>
      <c r="H28" s="6">
        <v>21.785538903631899</v>
      </c>
      <c r="I28" s="28"/>
      <c r="J28" s="28"/>
      <c r="N28" s="8">
        <v>0</v>
      </c>
      <c r="O28" s="9">
        <v>60</v>
      </c>
      <c r="P28" s="5" t="s">
        <v>16</v>
      </c>
      <c r="Q28" s="19"/>
      <c r="R28" s="31"/>
      <c r="S28" s="32"/>
      <c r="T28" s="32"/>
      <c r="U28" s="33"/>
      <c r="V28" s="31"/>
      <c r="W28" s="32"/>
      <c r="X28" s="32"/>
      <c r="Y28" s="33"/>
      <c r="Z28" s="31"/>
      <c r="AA28" s="32"/>
      <c r="AB28" s="32"/>
      <c r="AC28" s="19"/>
    </row>
    <row r="29" spans="2:29" ht="15" customHeight="1" x14ac:dyDescent="0.25">
      <c r="H29" s="28"/>
      <c r="I29" s="28"/>
      <c r="J29" s="28"/>
      <c r="N29" s="8">
        <v>0</v>
      </c>
      <c r="O29" s="9">
        <v>60</v>
      </c>
      <c r="P29" s="5" t="s">
        <v>16</v>
      </c>
      <c r="Q29" s="19"/>
      <c r="R29" s="31"/>
      <c r="S29" s="32"/>
      <c r="T29" s="32"/>
      <c r="U29" s="33"/>
      <c r="V29" s="31"/>
      <c r="W29" s="32"/>
      <c r="X29" s="32"/>
      <c r="Y29" s="33"/>
      <c r="Z29" s="31"/>
      <c r="AA29" s="32"/>
      <c r="AB29" s="32"/>
      <c r="AC29" s="19"/>
    </row>
    <row r="30" spans="2:29" ht="15" customHeight="1" x14ac:dyDescent="0.25">
      <c r="B30" s="5" t="s">
        <v>298</v>
      </c>
      <c r="C30" s="5" t="s">
        <v>15</v>
      </c>
      <c r="D30" s="5" t="s">
        <v>16</v>
      </c>
      <c r="E30" s="5" t="s">
        <v>20</v>
      </c>
      <c r="F30" s="5" t="s">
        <v>116</v>
      </c>
      <c r="G30" s="5" t="s">
        <v>17</v>
      </c>
      <c r="H30" s="6">
        <v>22.3958189907171</v>
      </c>
      <c r="I30" s="28">
        <f>AVERAGE(H30:H32)</f>
        <v>22.462339110014067</v>
      </c>
      <c r="J30" s="28">
        <f>_xlfn.STDEV.S(H30:H32)</f>
        <v>0.12784248164101542</v>
      </c>
      <c r="N30" s="8">
        <v>0</v>
      </c>
      <c r="O30" s="9">
        <v>60</v>
      </c>
      <c r="P30" s="5" t="s">
        <v>16</v>
      </c>
      <c r="Q30" s="19"/>
      <c r="R30" s="31">
        <f>I30/I64</f>
        <v>1.0139713013622165</v>
      </c>
      <c r="S30" s="32">
        <f>I30-I64</f>
        <v>0.3095039362403007</v>
      </c>
      <c r="T30" s="32">
        <f t="shared" si="0"/>
        <v>1.2392815056780293</v>
      </c>
      <c r="U30" s="33"/>
      <c r="V30" s="31">
        <f>I30/I98</f>
        <v>1.1010910528360651</v>
      </c>
      <c r="W30" s="32">
        <f>I30-I98</f>
        <v>2.0622649724955338</v>
      </c>
      <c r="X30" s="32">
        <f>POWER(2,W30)</f>
        <v>4.1764147001979177</v>
      </c>
      <c r="Y30" s="33"/>
      <c r="Z30" s="31">
        <f>I30/I132</f>
        <v>1.0587463732915467</v>
      </c>
      <c r="AA30" s="32">
        <f>I30-I132</f>
        <v>1.2463617270827001</v>
      </c>
      <c r="AB30" s="32">
        <f>POWER(2,AA30)</f>
        <v>2.3724237623211977</v>
      </c>
      <c r="AC30" s="19"/>
    </row>
    <row r="31" spans="2:29" ht="15" customHeight="1" x14ac:dyDescent="0.25">
      <c r="B31" s="5" t="s">
        <v>299</v>
      </c>
      <c r="C31" s="5" t="s">
        <v>15</v>
      </c>
      <c r="D31" s="5" t="s">
        <v>16</v>
      </c>
      <c r="E31" s="5" t="s">
        <v>20</v>
      </c>
      <c r="F31" s="5" t="s">
        <v>116</v>
      </c>
      <c r="G31" s="5" t="s">
        <v>18</v>
      </c>
      <c r="H31" s="6">
        <v>22.381472023861601</v>
      </c>
      <c r="I31" s="28"/>
      <c r="J31" s="28"/>
      <c r="N31" s="8">
        <v>0</v>
      </c>
      <c r="O31" s="9">
        <v>60</v>
      </c>
      <c r="P31" s="5" t="s">
        <v>16</v>
      </c>
      <c r="Q31" s="19"/>
      <c r="R31" s="23"/>
      <c r="S31" s="24"/>
      <c r="T31" s="24"/>
      <c r="U31" s="25"/>
      <c r="V31" s="23"/>
      <c r="W31" s="24"/>
      <c r="X31" s="24"/>
      <c r="Y31" s="25"/>
      <c r="Z31" s="23"/>
      <c r="AA31" s="24"/>
      <c r="AB31" s="24"/>
      <c r="AC31" s="19"/>
    </row>
    <row r="32" spans="2:29" ht="15" customHeight="1" x14ac:dyDescent="0.25">
      <c r="B32" s="5" t="s">
        <v>300</v>
      </c>
      <c r="C32" s="5" t="s">
        <v>15</v>
      </c>
      <c r="D32" s="5" t="s">
        <v>16</v>
      </c>
      <c r="E32" s="5" t="s">
        <v>20</v>
      </c>
      <c r="F32" s="5" t="s">
        <v>116</v>
      </c>
      <c r="G32" s="5" t="s">
        <v>19</v>
      </c>
      <c r="H32" s="6">
        <v>22.609726315463501</v>
      </c>
      <c r="I32" s="28"/>
      <c r="J32" s="28"/>
      <c r="N32" s="8">
        <v>0</v>
      </c>
      <c r="O32" s="9">
        <v>60</v>
      </c>
      <c r="P32" s="5" t="s">
        <v>16</v>
      </c>
      <c r="Q32" s="19"/>
      <c r="R32" s="23"/>
      <c r="S32" s="24"/>
      <c r="T32" s="24"/>
      <c r="U32" s="25"/>
      <c r="V32" s="23"/>
      <c r="W32" s="24"/>
      <c r="X32" s="24"/>
      <c r="Y32" s="25"/>
      <c r="Z32" s="23"/>
      <c r="AA32" s="24"/>
      <c r="AB32" s="24"/>
      <c r="AC32" s="19"/>
    </row>
    <row r="33" spans="2:29" ht="15" customHeight="1" x14ac:dyDescent="0.25">
      <c r="B33" s="11"/>
      <c r="C33" s="11"/>
      <c r="D33" s="11"/>
      <c r="E33" s="11"/>
      <c r="F33" s="11"/>
      <c r="G33" s="11"/>
      <c r="H33" s="29"/>
      <c r="I33" s="29"/>
      <c r="J33" s="29"/>
      <c r="K33" s="13"/>
      <c r="L33" s="12"/>
      <c r="M33" s="13"/>
      <c r="N33" s="13">
        <v>0</v>
      </c>
      <c r="O33" s="14">
        <v>60</v>
      </c>
      <c r="P33" s="11" t="s">
        <v>16</v>
      </c>
      <c r="Q33" s="20"/>
      <c r="R33" s="26"/>
      <c r="S33" s="24"/>
      <c r="T33" s="24"/>
      <c r="U33" s="27"/>
      <c r="V33" s="26"/>
      <c r="W33" s="24"/>
      <c r="X33" s="24"/>
      <c r="Y33" s="27"/>
      <c r="Z33" s="26"/>
      <c r="AA33" s="24"/>
      <c r="AB33" s="24"/>
      <c r="AC33" s="20"/>
    </row>
    <row r="34" spans="2:29" ht="15" customHeight="1" x14ac:dyDescent="0.2">
      <c r="B34" s="21"/>
      <c r="C34" s="21"/>
      <c r="D34" s="21"/>
      <c r="E34" s="21"/>
      <c r="F34" s="21"/>
      <c r="G34" s="21"/>
      <c r="H34" s="30"/>
      <c r="I34" s="30"/>
      <c r="J34" s="30"/>
      <c r="K34" s="21"/>
      <c r="L34" s="21"/>
      <c r="M34" s="21"/>
      <c r="N34" s="21">
        <v>0</v>
      </c>
      <c r="O34" s="21">
        <v>60</v>
      </c>
      <c r="P34" s="21" t="s">
        <v>16</v>
      </c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2:29" ht="15" customHeight="1" x14ac:dyDescent="0.2">
      <c r="B35" s="10"/>
      <c r="C35" s="10"/>
      <c r="D35" s="10"/>
      <c r="E35" s="10"/>
      <c r="F35" s="10"/>
      <c r="G35" s="10"/>
      <c r="H35" s="28"/>
      <c r="I35" s="28"/>
      <c r="J35" s="28"/>
      <c r="K35" s="10"/>
      <c r="L35" s="10"/>
      <c r="M35" s="10"/>
      <c r="N35" s="10"/>
      <c r="O35" s="10"/>
      <c r="P35" s="10"/>
      <c r="Q35" s="19"/>
      <c r="R35" s="17"/>
      <c r="U35" s="19"/>
      <c r="V35" s="17"/>
      <c r="Y35" s="19"/>
      <c r="Z35" s="17"/>
      <c r="AC35" s="19"/>
    </row>
    <row r="36" spans="2:29" ht="15" customHeight="1" x14ac:dyDescent="0.2">
      <c r="B36" s="5" t="s">
        <v>271</v>
      </c>
      <c r="C36" s="5" t="s">
        <v>15</v>
      </c>
      <c r="D36" s="5" t="s">
        <v>16</v>
      </c>
      <c r="E36" s="5" t="s">
        <v>20</v>
      </c>
      <c r="F36" s="5" t="s">
        <v>260</v>
      </c>
      <c r="G36" s="5" t="s">
        <v>17</v>
      </c>
      <c r="H36" s="6">
        <v>22.477511492470502</v>
      </c>
      <c r="I36" s="28">
        <f>AVERAGE(H36:H38)</f>
        <v>22.363069452100532</v>
      </c>
      <c r="J36" s="28">
        <f>_xlfn.STDEV.S(H36:H38)</f>
        <v>9.9110453437898163E-2</v>
      </c>
      <c r="N36" s="8">
        <v>0</v>
      </c>
      <c r="O36" s="9">
        <v>60</v>
      </c>
      <c r="P36" s="5" t="s">
        <v>16</v>
      </c>
      <c r="Q36" s="19"/>
      <c r="R36" s="17"/>
      <c r="U36" s="19"/>
      <c r="V36" s="17"/>
      <c r="Y36" s="19"/>
      <c r="Z36" s="17"/>
      <c r="AC36" s="19"/>
    </row>
    <row r="37" spans="2:29" ht="15" customHeight="1" x14ac:dyDescent="0.2">
      <c r="B37" s="5" t="s">
        <v>272</v>
      </c>
      <c r="C37" s="5" t="s">
        <v>15</v>
      </c>
      <c r="D37" s="5" t="s">
        <v>16</v>
      </c>
      <c r="E37" s="5" t="s">
        <v>20</v>
      </c>
      <c r="F37" s="5" t="s">
        <v>260</v>
      </c>
      <c r="G37" s="5" t="s">
        <v>18</v>
      </c>
      <c r="H37" s="6">
        <v>22.306231221198001</v>
      </c>
      <c r="I37" s="28"/>
      <c r="J37" s="28"/>
      <c r="Q37" s="19"/>
      <c r="R37" s="17"/>
      <c r="U37" s="19"/>
      <c r="V37" s="17"/>
      <c r="Y37" s="19"/>
      <c r="Z37" s="17"/>
      <c r="AC37" s="19"/>
    </row>
    <row r="38" spans="2:29" ht="15" customHeight="1" x14ac:dyDescent="0.2">
      <c r="B38" s="5" t="s">
        <v>273</v>
      </c>
      <c r="C38" s="5" t="s">
        <v>15</v>
      </c>
      <c r="D38" s="5" t="s">
        <v>16</v>
      </c>
      <c r="E38" s="5" t="s">
        <v>20</v>
      </c>
      <c r="F38" s="5" t="s">
        <v>260</v>
      </c>
      <c r="G38" s="5" t="s">
        <v>19</v>
      </c>
      <c r="H38" s="6">
        <v>22.305465642633099</v>
      </c>
      <c r="I38" s="28"/>
      <c r="J38" s="28"/>
      <c r="Q38" s="19"/>
      <c r="R38" s="17"/>
      <c r="U38" s="19"/>
      <c r="V38" s="17"/>
      <c r="Y38" s="19"/>
      <c r="Z38" s="17"/>
      <c r="AC38" s="19"/>
    </row>
    <row r="39" spans="2:29" ht="15" customHeight="1" x14ac:dyDescent="0.2">
      <c r="H39" s="28"/>
      <c r="I39" s="28"/>
      <c r="J39" s="28"/>
      <c r="N39" s="8">
        <v>0</v>
      </c>
      <c r="O39" s="9">
        <v>60</v>
      </c>
      <c r="P39" s="5" t="s">
        <v>16</v>
      </c>
      <c r="Q39" s="19"/>
      <c r="R39" s="17"/>
      <c r="U39" s="19"/>
      <c r="V39" s="17"/>
      <c r="Y39" s="19"/>
      <c r="Z39" s="17"/>
      <c r="AC39" s="19"/>
    </row>
    <row r="40" spans="2:29" ht="15" customHeight="1" x14ac:dyDescent="0.2">
      <c r="B40" s="5" t="s">
        <v>277</v>
      </c>
      <c r="C40" s="5" t="s">
        <v>15</v>
      </c>
      <c r="D40" s="5" t="s">
        <v>16</v>
      </c>
      <c r="E40" s="5" t="s">
        <v>20</v>
      </c>
      <c r="F40" s="5" t="s">
        <v>117</v>
      </c>
      <c r="G40" s="5" t="s">
        <v>17</v>
      </c>
      <c r="H40" s="6">
        <v>21.494964090981998</v>
      </c>
      <c r="I40" s="28">
        <f>AVERAGE(H40:H42)</f>
        <v>21.331694826301302</v>
      </c>
      <c r="J40" s="28">
        <f>_xlfn.STDEV.S(H40:H42)</f>
        <v>0.14644093680937439</v>
      </c>
      <c r="N40" s="8">
        <v>0</v>
      </c>
      <c r="O40" s="9">
        <v>60</v>
      </c>
      <c r="P40" s="5" t="s">
        <v>16</v>
      </c>
      <c r="Q40" s="19"/>
      <c r="R40" s="17"/>
      <c r="U40" s="19"/>
      <c r="V40" s="17"/>
      <c r="Y40" s="19"/>
      <c r="Z40" s="17"/>
      <c r="AC40" s="19"/>
    </row>
    <row r="41" spans="2:29" ht="15" customHeight="1" x14ac:dyDescent="0.2">
      <c r="B41" s="5" t="s">
        <v>278</v>
      </c>
      <c r="C41" s="5" t="s">
        <v>15</v>
      </c>
      <c r="D41" s="5" t="s">
        <v>16</v>
      </c>
      <c r="E41" s="5" t="s">
        <v>20</v>
      </c>
      <c r="F41" s="5" t="s">
        <v>117</v>
      </c>
      <c r="G41" s="5" t="s">
        <v>18</v>
      </c>
      <c r="H41" s="6">
        <v>21.288169357971402</v>
      </c>
      <c r="I41" s="28"/>
      <c r="J41" s="28"/>
      <c r="N41" s="8">
        <v>0</v>
      </c>
      <c r="O41" s="9">
        <v>60</v>
      </c>
      <c r="P41" s="5" t="s">
        <v>16</v>
      </c>
      <c r="Q41" s="19"/>
      <c r="R41" s="17"/>
      <c r="U41" s="19"/>
      <c r="V41" s="17"/>
      <c r="Y41" s="19"/>
      <c r="Z41" s="17"/>
      <c r="AC41" s="19"/>
    </row>
    <row r="42" spans="2:29" ht="15" customHeight="1" x14ac:dyDescent="0.2">
      <c r="B42" s="5" t="s">
        <v>279</v>
      </c>
      <c r="C42" s="5" t="s">
        <v>15</v>
      </c>
      <c r="D42" s="5" t="s">
        <v>16</v>
      </c>
      <c r="E42" s="5" t="s">
        <v>20</v>
      </c>
      <c r="F42" s="5" t="s">
        <v>117</v>
      </c>
      <c r="G42" s="5" t="s">
        <v>19</v>
      </c>
      <c r="H42" s="6">
        <v>21.211951029950502</v>
      </c>
      <c r="I42" s="28"/>
      <c r="J42" s="28"/>
      <c r="N42" s="8">
        <v>0</v>
      </c>
      <c r="O42" s="9">
        <v>60</v>
      </c>
      <c r="P42" s="5" t="s">
        <v>16</v>
      </c>
      <c r="Q42" s="19"/>
      <c r="R42" s="17"/>
      <c r="U42" s="19"/>
      <c r="V42" s="17"/>
      <c r="Y42" s="19"/>
      <c r="Z42" s="17"/>
      <c r="AC42" s="19"/>
    </row>
    <row r="43" spans="2:29" ht="15" customHeight="1" x14ac:dyDescent="0.2">
      <c r="H43" s="28"/>
      <c r="I43" s="28"/>
      <c r="J43" s="28"/>
      <c r="N43" s="8">
        <v>0</v>
      </c>
      <c r="O43" s="9">
        <v>60</v>
      </c>
      <c r="P43" s="5" t="s">
        <v>16</v>
      </c>
      <c r="Q43" s="19"/>
      <c r="R43" s="17"/>
      <c r="U43" s="19"/>
      <c r="V43" s="17"/>
      <c r="Y43" s="19"/>
      <c r="Z43" s="17"/>
      <c r="AC43" s="19"/>
    </row>
    <row r="44" spans="2:29" ht="15" customHeight="1" x14ac:dyDescent="0.2">
      <c r="B44" s="5" t="s">
        <v>21</v>
      </c>
      <c r="C44" s="5" t="s">
        <v>15</v>
      </c>
      <c r="D44" s="5" t="s">
        <v>16</v>
      </c>
      <c r="E44" s="5" t="s">
        <v>20</v>
      </c>
      <c r="F44" s="5" t="s">
        <v>118</v>
      </c>
      <c r="G44" s="5" t="s">
        <v>17</v>
      </c>
      <c r="H44" s="6">
        <v>20.877988079860099</v>
      </c>
      <c r="I44" s="28">
        <f>AVERAGE(H44:H46)</f>
        <v>20.833951305745035</v>
      </c>
      <c r="J44" s="28">
        <f>_xlfn.STDEV.S(H44:H46)</f>
        <v>5.5362504934277287E-2</v>
      </c>
      <c r="N44" s="8">
        <v>0</v>
      </c>
      <c r="O44" s="9">
        <v>60</v>
      </c>
      <c r="P44" s="5" t="s">
        <v>16</v>
      </c>
      <c r="Q44" s="19"/>
      <c r="R44" s="17"/>
      <c r="U44" s="19"/>
      <c r="V44" s="17"/>
      <c r="Y44" s="19"/>
      <c r="Z44" s="17"/>
      <c r="AC44" s="19"/>
    </row>
    <row r="45" spans="2:29" ht="15" customHeight="1" x14ac:dyDescent="0.2">
      <c r="B45" s="5" t="s">
        <v>23</v>
      </c>
      <c r="C45" s="5" t="s">
        <v>15</v>
      </c>
      <c r="D45" s="5" t="s">
        <v>16</v>
      </c>
      <c r="E45" s="5" t="s">
        <v>20</v>
      </c>
      <c r="F45" s="5" t="s">
        <v>118</v>
      </c>
      <c r="G45" s="5" t="s">
        <v>18</v>
      </c>
      <c r="H45" s="6">
        <v>20.852064936413399</v>
      </c>
      <c r="I45" s="28"/>
      <c r="J45" s="28"/>
      <c r="N45" s="8">
        <v>0</v>
      </c>
      <c r="O45" s="9">
        <v>60</v>
      </c>
      <c r="P45" s="5" t="s">
        <v>16</v>
      </c>
      <c r="Q45" s="19"/>
      <c r="R45" s="17"/>
      <c r="U45" s="19"/>
      <c r="V45" s="17"/>
      <c r="Y45" s="19"/>
      <c r="Z45" s="17"/>
      <c r="AC45" s="19"/>
    </row>
    <row r="46" spans="2:29" ht="15" customHeight="1" x14ac:dyDescent="0.2">
      <c r="B46" s="5" t="s">
        <v>24</v>
      </c>
      <c r="C46" s="5" t="s">
        <v>15</v>
      </c>
      <c r="D46" s="5" t="s">
        <v>16</v>
      </c>
      <c r="E46" s="5" t="s">
        <v>20</v>
      </c>
      <c r="F46" s="5" t="s">
        <v>118</v>
      </c>
      <c r="G46" s="5" t="s">
        <v>19</v>
      </c>
      <c r="H46" s="6">
        <v>20.771800900961601</v>
      </c>
      <c r="I46" s="28"/>
      <c r="J46" s="28"/>
      <c r="N46" s="8">
        <v>0</v>
      </c>
      <c r="O46" s="9">
        <v>60</v>
      </c>
      <c r="P46" s="5" t="s">
        <v>16</v>
      </c>
      <c r="Q46" s="19"/>
      <c r="R46" s="17"/>
      <c r="U46" s="19"/>
      <c r="V46" s="17"/>
      <c r="Y46" s="19"/>
      <c r="Z46" s="17"/>
      <c r="AC46" s="19"/>
    </row>
    <row r="47" spans="2:29" ht="15" customHeight="1" x14ac:dyDescent="0.2">
      <c r="B47" s="10"/>
      <c r="C47" s="10"/>
      <c r="D47" s="10"/>
      <c r="E47" s="10"/>
      <c r="F47" s="10"/>
      <c r="H47" s="28"/>
      <c r="I47" s="28"/>
      <c r="J47" s="28"/>
      <c r="N47" s="8">
        <v>0</v>
      </c>
      <c r="O47" s="9">
        <v>60</v>
      </c>
      <c r="P47" s="5" t="s">
        <v>16</v>
      </c>
      <c r="Q47" s="19"/>
      <c r="R47" s="17"/>
      <c r="U47" s="19"/>
      <c r="V47" s="17"/>
      <c r="Y47" s="19"/>
      <c r="Z47" s="17"/>
      <c r="AC47" s="19"/>
    </row>
    <row r="48" spans="2:29" ht="15" customHeight="1" x14ac:dyDescent="0.2">
      <c r="B48" s="5" t="s">
        <v>25</v>
      </c>
      <c r="C48" s="5" t="s">
        <v>15</v>
      </c>
      <c r="D48" s="5" t="s">
        <v>16</v>
      </c>
      <c r="E48" s="5" t="s">
        <v>20</v>
      </c>
      <c r="F48" s="5" t="s">
        <v>119</v>
      </c>
      <c r="G48" s="5" t="s">
        <v>17</v>
      </c>
      <c r="H48" s="6">
        <v>21.6044147399443</v>
      </c>
      <c r="I48" s="28">
        <f>AVERAGE(H48:H50)</f>
        <v>21.622810272704967</v>
      </c>
      <c r="J48" s="28">
        <f>_xlfn.STDEV.S(H48:H50)</f>
        <v>2.7595453368878888E-2</v>
      </c>
      <c r="N48" s="8">
        <v>0</v>
      </c>
      <c r="O48" s="9">
        <v>60</v>
      </c>
      <c r="P48" s="5" t="s">
        <v>16</v>
      </c>
      <c r="Q48" s="19"/>
      <c r="R48" s="17"/>
      <c r="U48" s="19"/>
      <c r="V48" s="17"/>
      <c r="Y48" s="19"/>
      <c r="Z48" s="17"/>
      <c r="AC48" s="19"/>
    </row>
    <row r="49" spans="2:29" ht="15" customHeight="1" x14ac:dyDescent="0.2">
      <c r="B49" s="5" t="s">
        <v>27</v>
      </c>
      <c r="C49" s="5" t="s">
        <v>15</v>
      </c>
      <c r="D49" s="5" t="s">
        <v>16</v>
      </c>
      <c r="E49" s="5" t="s">
        <v>20</v>
      </c>
      <c r="F49" s="5" t="s">
        <v>119</v>
      </c>
      <c r="G49" s="5" t="s">
        <v>18</v>
      </c>
      <c r="H49" s="6">
        <v>21.654540511818499</v>
      </c>
      <c r="I49" s="28"/>
      <c r="J49" s="28"/>
      <c r="N49" s="8">
        <v>0</v>
      </c>
      <c r="O49" s="9">
        <v>60</v>
      </c>
      <c r="P49" s="5" t="s">
        <v>16</v>
      </c>
      <c r="Q49" s="19"/>
      <c r="R49" s="17"/>
      <c r="U49" s="19"/>
      <c r="V49" s="17"/>
      <c r="Y49" s="19"/>
      <c r="Z49" s="17"/>
      <c r="AC49" s="19"/>
    </row>
    <row r="50" spans="2:29" ht="15" customHeight="1" x14ac:dyDescent="0.2">
      <c r="B50" s="5" t="s">
        <v>28</v>
      </c>
      <c r="C50" s="5" t="s">
        <v>15</v>
      </c>
      <c r="D50" s="5" t="s">
        <v>16</v>
      </c>
      <c r="E50" s="5" t="s">
        <v>20</v>
      </c>
      <c r="F50" s="5" t="s">
        <v>119</v>
      </c>
      <c r="G50" s="5" t="s">
        <v>19</v>
      </c>
      <c r="H50" s="6">
        <v>21.609475566352099</v>
      </c>
      <c r="I50" s="28"/>
      <c r="J50" s="28"/>
      <c r="N50" s="8">
        <v>0</v>
      </c>
      <c r="O50" s="9">
        <v>60</v>
      </c>
      <c r="P50" s="5" t="s">
        <v>16</v>
      </c>
      <c r="Q50" s="19"/>
      <c r="R50" s="17"/>
      <c r="U50" s="19"/>
      <c r="V50" s="17"/>
      <c r="Y50" s="19"/>
      <c r="Z50" s="17"/>
      <c r="AC50" s="19"/>
    </row>
    <row r="51" spans="2:29" ht="15" customHeight="1" x14ac:dyDescent="0.2">
      <c r="B51" s="10"/>
      <c r="C51" s="10"/>
      <c r="D51" s="10"/>
      <c r="E51" s="10"/>
      <c r="F51" s="10"/>
      <c r="H51" s="28"/>
      <c r="I51" s="28"/>
      <c r="J51" s="28"/>
      <c r="N51" s="8">
        <v>0</v>
      </c>
      <c r="O51" s="9">
        <v>60</v>
      </c>
      <c r="P51" s="5" t="s">
        <v>16</v>
      </c>
      <c r="Q51" s="19"/>
      <c r="R51" s="17"/>
      <c r="U51" s="19"/>
      <c r="V51" s="17"/>
      <c r="Y51" s="19"/>
      <c r="Z51" s="17"/>
      <c r="AC51" s="19"/>
    </row>
    <row r="52" spans="2:29" ht="15" customHeight="1" x14ac:dyDescent="0.2">
      <c r="B52" s="5" t="s">
        <v>29</v>
      </c>
      <c r="C52" s="5" t="s">
        <v>15</v>
      </c>
      <c r="D52" s="5" t="s">
        <v>16</v>
      </c>
      <c r="E52" s="5" t="s">
        <v>20</v>
      </c>
      <c r="F52" s="5" t="s">
        <v>120</v>
      </c>
      <c r="G52" s="5" t="s">
        <v>17</v>
      </c>
      <c r="H52" s="6">
        <v>21.456291430464798</v>
      </c>
      <c r="I52" s="28">
        <f>AVERAGE(H52:H54)</f>
        <v>21.363201239893034</v>
      </c>
      <c r="J52" s="28">
        <f>_xlfn.STDEV.S(H52:H54)</f>
        <v>8.6329251681697292E-2</v>
      </c>
      <c r="N52" s="8">
        <v>0</v>
      </c>
      <c r="O52" s="9">
        <v>60</v>
      </c>
      <c r="P52" s="5" t="s">
        <v>16</v>
      </c>
      <c r="Q52" s="19"/>
      <c r="R52" s="17"/>
      <c r="U52" s="19"/>
      <c r="V52" s="17"/>
      <c r="Y52" s="19"/>
      <c r="Z52" s="17"/>
      <c r="AC52" s="19"/>
    </row>
    <row r="53" spans="2:29" ht="15" customHeight="1" x14ac:dyDescent="0.2">
      <c r="B53" s="5" t="s">
        <v>31</v>
      </c>
      <c r="C53" s="5" t="s">
        <v>15</v>
      </c>
      <c r="D53" s="5" t="s">
        <v>16</v>
      </c>
      <c r="E53" s="5" t="s">
        <v>20</v>
      </c>
      <c r="F53" s="5" t="s">
        <v>120</v>
      </c>
      <c r="G53" s="5" t="s">
        <v>18</v>
      </c>
      <c r="H53" s="6">
        <v>21.347533353198699</v>
      </c>
      <c r="I53" s="28"/>
      <c r="J53" s="28"/>
      <c r="N53" s="8">
        <v>0</v>
      </c>
      <c r="O53" s="9">
        <v>60</v>
      </c>
      <c r="P53" s="5" t="s">
        <v>16</v>
      </c>
      <c r="Q53" s="19"/>
      <c r="R53" s="17"/>
      <c r="U53" s="19"/>
      <c r="V53" s="17"/>
      <c r="Y53" s="19"/>
      <c r="Z53" s="17"/>
      <c r="AC53" s="19"/>
    </row>
    <row r="54" spans="2:29" ht="15" customHeight="1" x14ac:dyDescent="0.2">
      <c r="B54" s="5" t="s">
        <v>32</v>
      </c>
      <c r="C54" s="5" t="s">
        <v>15</v>
      </c>
      <c r="D54" s="5" t="s">
        <v>16</v>
      </c>
      <c r="E54" s="5" t="s">
        <v>20</v>
      </c>
      <c r="F54" s="5" t="s">
        <v>120</v>
      </c>
      <c r="G54" s="5" t="s">
        <v>19</v>
      </c>
      <c r="H54" s="6">
        <v>21.2857789360156</v>
      </c>
      <c r="I54" s="28"/>
      <c r="J54" s="28"/>
      <c r="N54" s="8">
        <v>0</v>
      </c>
      <c r="O54" s="9">
        <v>60</v>
      </c>
      <c r="P54" s="5" t="s">
        <v>16</v>
      </c>
      <c r="Q54" s="19"/>
      <c r="R54" s="17"/>
      <c r="U54" s="19"/>
      <c r="V54" s="17"/>
      <c r="Y54" s="19"/>
      <c r="Z54" s="17"/>
      <c r="AC54" s="19"/>
    </row>
    <row r="55" spans="2:29" x14ac:dyDescent="0.2">
      <c r="H55" s="28"/>
      <c r="I55" s="28"/>
      <c r="J55" s="28"/>
      <c r="Q55" s="19"/>
      <c r="R55" s="17"/>
      <c r="U55" s="19"/>
      <c r="V55" s="17"/>
      <c r="Y55" s="19"/>
      <c r="Z55" s="17"/>
      <c r="AC55" s="19"/>
    </row>
    <row r="56" spans="2:29" ht="15" customHeight="1" x14ac:dyDescent="0.2">
      <c r="B56" s="5" t="s">
        <v>33</v>
      </c>
      <c r="C56" s="5" t="s">
        <v>15</v>
      </c>
      <c r="D56" s="5" t="s">
        <v>16</v>
      </c>
      <c r="E56" s="5" t="s">
        <v>20</v>
      </c>
      <c r="F56" s="5" t="s">
        <v>121</v>
      </c>
      <c r="G56" s="5" t="s">
        <v>17</v>
      </c>
      <c r="H56" s="6">
        <v>21.879730176738502</v>
      </c>
      <c r="I56" s="28">
        <f>AVERAGE(H56:H58)</f>
        <v>21.877589161113402</v>
      </c>
      <c r="J56" s="28">
        <f>_xlfn.STDEV.S(H56:H58)</f>
        <v>0.29644290068690282</v>
      </c>
      <c r="N56" s="8">
        <v>0</v>
      </c>
      <c r="O56" s="9">
        <v>60</v>
      </c>
      <c r="P56" s="5" t="s">
        <v>16</v>
      </c>
      <c r="Q56" s="19"/>
      <c r="R56" s="17"/>
      <c r="U56" s="19"/>
      <c r="V56" s="17"/>
      <c r="Y56" s="19"/>
      <c r="Z56" s="17"/>
      <c r="AC56" s="19"/>
    </row>
    <row r="57" spans="2:29" ht="15" customHeight="1" x14ac:dyDescent="0.2">
      <c r="B57" s="5" t="s">
        <v>35</v>
      </c>
      <c r="C57" s="5" t="s">
        <v>15</v>
      </c>
      <c r="D57" s="5" t="s">
        <v>16</v>
      </c>
      <c r="E57" s="5" t="s">
        <v>20</v>
      </c>
      <c r="F57" s="5" t="s">
        <v>121</v>
      </c>
      <c r="G57" s="5" t="s">
        <v>18</v>
      </c>
      <c r="H57" s="6">
        <v>22.172955755241102</v>
      </c>
      <c r="I57" s="28"/>
      <c r="J57" s="28"/>
      <c r="N57" s="8">
        <v>0</v>
      </c>
      <c r="O57" s="9">
        <v>60</v>
      </c>
      <c r="P57" s="5" t="s">
        <v>16</v>
      </c>
      <c r="Q57" s="19"/>
      <c r="R57" s="17"/>
      <c r="U57" s="19"/>
      <c r="V57" s="17"/>
      <c r="Y57" s="19"/>
      <c r="Z57" s="17"/>
      <c r="AC57" s="19"/>
    </row>
    <row r="58" spans="2:29" ht="15" customHeight="1" x14ac:dyDescent="0.2">
      <c r="B58" s="5" t="s">
        <v>36</v>
      </c>
      <c r="C58" s="5" t="s">
        <v>15</v>
      </c>
      <c r="D58" s="5" t="s">
        <v>16</v>
      </c>
      <c r="E58" s="5" t="s">
        <v>20</v>
      </c>
      <c r="F58" s="5" t="s">
        <v>121</v>
      </c>
      <c r="G58" s="5" t="s">
        <v>19</v>
      </c>
      <c r="H58" s="6">
        <v>21.5800815513606</v>
      </c>
      <c r="I58" s="28"/>
      <c r="J58" s="28"/>
      <c r="N58" s="8">
        <v>0</v>
      </c>
      <c r="O58" s="9">
        <v>60</v>
      </c>
      <c r="P58" s="5" t="s">
        <v>16</v>
      </c>
      <c r="Q58" s="19"/>
      <c r="R58" s="17"/>
      <c r="U58" s="19"/>
      <c r="V58" s="17"/>
      <c r="Y58" s="19"/>
      <c r="Z58" s="17"/>
      <c r="AC58" s="19"/>
    </row>
    <row r="59" spans="2:29" x14ac:dyDescent="0.2">
      <c r="H59" s="28"/>
      <c r="I59" s="28"/>
      <c r="J59" s="28"/>
      <c r="Q59" s="19"/>
      <c r="R59" s="17"/>
      <c r="U59" s="19"/>
      <c r="V59" s="17"/>
      <c r="Y59" s="19"/>
      <c r="Z59" s="17"/>
      <c r="AC59" s="19"/>
    </row>
    <row r="60" spans="2:29" ht="15" customHeight="1" x14ac:dyDescent="0.2">
      <c r="B60" s="5" t="s">
        <v>37</v>
      </c>
      <c r="C60" s="5" t="s">
        <v>15</v>
      </c>
      <c r="D60" s="5" t="s">
        <v>16</v>
      </c>
      <c r="E60" s="5" t="s">
        <v>20</v>
      </c>
      <c r="F60" s="5" t="s">
        <v>122</v>
      </c>
      <c r="G60" s="5" t="s">
        <v>17</v>
      </c>
      <c r="H60" s="6">
        <v>21.254783674266701</v>
      </c>
      <c r="I60" s="28">
        <f>AVERAGE(H60:H62)</f>
        <v>21.223050845252367</v>
      </c>
      <c r="J60" s="28">
        <f>_xlfn.STDEV.S(H60:H62)</f>
        <v>5.7494804509959863E-2</v>
      </c>
      <c r="N60" s="8">
        <v>0</v>
      </c>
      <c r="O60" s="9">
        <v>60</v>
      </c>
      <c r="P60" s="5" t="s">
        <v>16</v>
      </c>
      <c r="Q60" s="19"/>
      <c r="R60" s="17"/>
      <c r="U60" s="19"/>
      <c r="V60" s="17"/>
      <c r="Y60" s="19"/>
      <c r="Z60" s="17"/>
      <c r="AC60" s="19"/>
    </row>
    <row r="61" spans="2:29" ht="15" customHeight="1" x14ac:dyDescent="0.2">
      <c r="B61" s="5" t="s">
        <v>39</v>
      </c>
      <c r="C61" s="5" t="s">
        <v>15</v>
      </c>
      <c r="D61" s="5" t="s">
        <v>16</v>
      </c>
      <c r="E61" s="5" t="s">
        <v>20</v>
      </c>
      <c r="F61" s="5" t="s">
        <v>122</v>
      </c>
      <c r="G61" s="5" t="s">
        <v>18</v>
      </c>
      <c r="H61" s="6">
        <v>21.257686145742799</v>
      </c>
      <c r="I61" s="28"/>
      <c r="J61" s="28"/>
      <c r="N61" s="8">
        <v>0</v>
      </c>
      <c r="O61" s="9">
        <v>60</v>
      </c>
      <c r="P61" s="5" t="s">
        <v>16</v>
      </c>
      <c r="Q61" s="19"/>
      <c r="R61" s="17"/>
      <c r="U61" s="19"/>
      <c r="V61" s="17"/>
      <c r="Y61" s="19"/>
      <c r="Z61" s="17"/>
      <c r="AC61" s="19"/>
    </row>
    <row r="62" spans="2:29" ht="15" customHeight="1" x14ac:dyDescent="0.2">
      <c r="B62" s="5" t="s">
        <v>40</v>
      </c>
      <c r="C62" s="5" t="s">
        <v>15</v>
      </c>
      <c r="D62" s="5" t="s">
        <v>16</v>
      </c>
      <c r="E62" s="5" t="s">
        <v>20</v>
      </c>
      <c r="F62" s="5" t="s">
        <v>122</v>
      </c>
      <c r="G62" s="5" t="s">
        <v>19</v>
      </c>
      <c r="H62" s="6">
        <v>21.1566827157476</v>
      </c>
      <c r="I62" s="28"/>
      <c r="J62" s="28"/>
      <c r="N62" s="8">
        <v>0</v>
      </c>
      <c r="O62" s="9">
        <v>60</v>
      </c>
      <c r="P62" s="5" t="s">
        <v>16</v>
      </c>
      <c r="Q62" s="19"/>
      <c r="R62" s="17"/>
      <c r="U62" s="19"/>
      <c r="V62" s="17"/>
      <c r="Y62" s="19"/>
      <c r="Z62" s="17"/>
      <c r="AC62" s="19"/>
    </row>
    <row r="63" spans="2:29" x14ac:dyDescent="0.2">
      <c r="H63" s="28"/>
      <c r="I63" s="28"/>
      <c r="J63" s="28"/>
      <c r="Q63" s="19"/>
      <c r="R63" s="17"/>
      <c r="U63" s="19"/>
      <c r="V63" s="17"/>
      <c r="Y63" s="19"/>
      <c r="Z63" s="17"/>
      <c r="AC63" s="19"/>
    </row>
    <row r="64" spans="2:29" ht="15" customHeight="1" x14ac:dyDescent="0.2">
      <c r="B64" s="5" t="s">
        <v>41</v>
      </c>
      <c r="C64" s="5" t="s">
        <v>15</v>
      </c>
      <c r="D64" s="5" t="s">
        <v>16</v>
      </c>
      <c r="E64" s="5" t="s">
        <v>20</v>
      </c>
      <c r="F64" s="5" t="s">
        <v>123</v>
      </c>
      <c r="G64" s="5" t="s">
        <v>17</v>
      </c>
      <c r="H64" s="6">
        <v>22.2822042488454</v>
      </c>
      <c r="I64" s="28">
        <f>AVERAGE(H64:H66)</f>
        <v>22.152835173773767</v>
      </c>
      <c r="J64" s="28">
        <f>_xlfn.STDEV.S(H64:H66)</f>
        <v>0.15013548807996252</v>
      </c>
      <c r="N64" s="8">
        <v>0</v>
      </c>
      <c r="O64" s="9">
        <v>60</v>
      </c>
      <c r="P64" s="5" t="s">
        <v>16</v>
      </c>
      <c r="Q64" s="19"/>
      <c r="R64" s="17"/>
      <c r="U64" s="19"/>
      <c r="V64" s="17"/>
      <c r="Y64" s="19"/>
      <c r="Z64" s="17"/>
      <c r="AC64" s="19"/>
    </row>
    <row r="65" spans="2:29" ht="15" customHeight="1" x14ac:dyDescent="0.2">
      <c r="B65" s="5" t="s">
        <v>43</v>
      </c>
      <c r="C65" s="5" t="s">
        <v>15</v>
      </c>
      <c r="D65" s="5" t="s">
        <v>16</v>
      </c>
      <c r="E65" s="5" t="s">
        <v>20</v>
      </c>
      <c r="F65" s="5" t="s">
        <v>123</v>
      </c>
      <c r="G65" s="5" t="s">
        <v>18</v>
      </c>
      <c r="H65" s="6">
        <v>22.188092602360001</v>
      </c>
      <c r="I65" s="28"/>
      <c r="J65" s="28"/>
      <c r="N65" s="8">
        <v>0</v>
      </c>
      <c r="O65" s="9">
        <v>60</v>
      </c>
      <c r="P65" s="5" t="s">
        <v>16</v>
      </c>
      <c r="Q65" s="19"/>
      <c r="R65" s="17"/>
      <c r="U65" s="19"/>
      <c r="V65" s="17"/>
      <c r="Y65" s="19"/>
      <c r="Z65" s="17"/>
      <c r="AC65" s="19"/>
    </row>
    <row r="66" spans="2:29" ht="15" customHeight="1" x14ac:dyDescent="0.2">
      <c r="B66" s="5" t="s">
        <v>44</v>
      </c>
      <c r="C66" s="5" t="s">
        <v>15</v>
      </c>
      <c r="D66" s="5" t="s">
        <v>16</v>
      </c>
      <c r="E66" s="5" t="s">
        <v>20</v>
      </c>
      <c r="F66" s="5" t="s">
        <v>123</v>
      </c>
      <c r="G66" s="5" t="s">
        <v>19</v>
      </c>
      <c r="H66" s="6">
        <v>21.988208670115899</v>
      </c>
      <c r="I66" s="28"/>
      <c r="J66" s="28"/>
      <c r="N66" s="8">
        <v>0</v>
      </c>
      <c r="O66" s="9">
        <v>60</v>
      </c>
      <c r="P66" s="5" t="s">
        <v>16</v>
      </c>
      <c r="Q66" s="19"/>
      <c r="R66" s="17"/>
      <c r="U66" s="19"/>
      <c r="V66" s="17"/>
      <c r="Y66" s="19"/>
      <c r="Z66" s="17"/>
      <c r="AC66" s="19"/>
    </row>
    <row r="67" spans="2:29" ht="15" customHeight="1" x14ac:dyDescent="0.2">
      <c r="B67" s="11"/>
      <c r="C67" s="11"/>
      <c r="D67" s="11"/>
      <c r="E67" s="11"/>
      <c r="F67" s="11"/>
      <c r="G67" s="11"/>
      <c r="H67" s="29"/>
      <c r="I67" s="29"/>
      <c r="J67" s="29"/>
      <c r="K67" s="13"/>
      <c r="L67" s="12"/>
      <c r="M67" s="13"/>
      <c r="N67" s="13">
        <v>0</v>
      </c>
      <c r="O67" s="14">
        <v>60</v>
      </c>
      <c r="P67" s="11" t="s">
        <v>16</v>
      </c>
      <c r="Q67" s="20"/>
      <c r="R67" s="16"/>
      <c r="U67" s="20"/>
      <c r="V67" s="16"/>
      <c r="Y67" s="20"/>
      <c r="Z67" s="16"/>
      <c r="AC67" s="20"/>
    </row>
    <row r="68" spans="2:29" ht="15" customHeight="1" x14ac:dyDescent="0.2">
      <c r="B68" s="21"/>
      <c r="C68" s="21"/>
      <c r="D68" s="21"/>
      <c r="E68" s="21"/>
      <c r="F68" s="21"/>
      <c r="G68" s="21"/>
      <c r="H68" s="30"/>
      <c r="I68" s="30"/>
      <c r="J68" s="30"/>
      <c r="K68" s="21"/>
      <c r="L68" s="21"/>
      <c r="M68" s="21"/>
      <c r="N68" s="21">
        <v>0</v>
      </c>
      <c r="O68" s="21">
        <v>60</v>
      </c>
      <c r="P68" s="21" t="s">
        <v>16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2:29" ht="15" customHeight="1" x14ac:dyDescent="0.2">
      <c r="B69" s="10"/>
      <c r="C69" s="10"/>
      <c r="D69" s="10"/>
      <c r="E69" s="10"/>
      <c r="F69" s="10"/>
      <c r="G69" s="10"/>
      <c r="H69" s="28"/>
      <c r="I69" s="28"/>
      <c r="J69" s="28"/>
      <c r="K69" s="10"/>
      <c r="L69" s="10"/>
      <c r="M69" s="10"/>
      <c r="N69" s="10"/>
      <c r="O69" s="10"/>
      <c r="P69" s="10"/>
      <c r="Q69" s="19"/>
      <c r="R69" s="17"/>
      <c r="U69" s="19"/>
      <c r="V69" s="17"/>
      <c r="Y69" s="19"/>
      <c r="Z69" s="17"/>
      <c r="AC69" s="19"/>
    </row>
    <row r="70" spans="2:29" ht="15" customHeight="1" x14ac:dyDescent="0.2">
      <c r="B70" s="5" t="s">
        <v>45</v>
      </c>
      <c r="C70" s="5" t="s">
        <v>15</v>
      </c>
      <c r="D70" s="5" t="s">
        <v>16</v>
      </c>
      <c r="E70" s="5" t="s">
        <v>20</v>
      </c>
      <c r="F70" s="5" t="s">
        <v>261</v>
      </c>
      <c r="G70" s="5" t="s">
        <v>17</v>
      </c>
      <c r="H70" s="6">
        <v>21.113894985580899</v>
      </c>
      <c r="I70" s="28">
        <f>AVERAGE(H70:H72)</f>
        <v>21.053698527902267</v>
      </c>
      <c r="J70" s="28">
        <f>_xlfn.STDEV.S(H70:H72)</f>
        <v>5.6820088211980292E-2</v>
      </c>
      <c r="N70" s="8">
        <v>0</v>
      </c>
      <c r="O70" s="9">
        <v>60</v>
      </c>
      <c r="P70" s="5" t="s">
        <v>16</v>
      </c>
      <c r="Q70" s="19"/>
      <c r="R70" s="17"/>
      <c r="U70" s="19"/>
      <c r="V70" s="17"/>
      <c r="Y70" s="19"/>
      <c r="Z70" s="17"/>
      <c r="AC70" s="19"/>
    </row>
    <row r="71" spans="2:29" x14ac:dyDescent="0.2">
      <c r="B71" s="5" t="s">
        <v>47</v>
      </c>
      <c r="C71" s="5" t="s">
        <v>15</v>
      </c>
      <c r="D71" s="5" t="s">
        <v>16</v>
      </c>
      <c r="E71" s="5" t="s">
        <v>20</v>
      </c>
      <c r="F71" s="5" t="s">
        <v>261</v>
      </c>
      <c r="G71" s="5" t="s">
        <v>18</v>
      </c>
      <c r="H71" s="6">
        <v>21.0009991423088</v>
      </c>
      <c r="I71" s="28"/>
      <c r="J71" s="28"/>
      <c r="Q71" s="19"/>
      <c r="R71" s="17"/>
      <c r="U71" s="19"/>
      <c r="V71" s="17"/>
      <c r="Y71" s="19"/>
      <c r="Z71" s="17"/>
      <c r="AC71" s="19"/>
    </row>
    <row r="72" spans="2:29" ht="15" customHeight="1" x14ac:dyDescent="0.2">
      <c r="B72" s="5" t="s">
        <v>48</v>
      </c>
      <c r="C72" s="5" t="s">
        <v>15</v>
      </c>
      <c r="D72" s="5" t="s">
        <v>16</v>
      </c>
      <c r="E72" s="5" t="s">
        <v>20</v>
      </c>
      <c r="F72" s="5" t="s">
        <v>261</v>
      </c>
      <c r="G72" s="5" t="s">
        <v>19</v>
      </c>
      <c r="H72" s="6">
        <v>21.046201455817101</v>
      </c>
      <c r="I72" s="28"/>
      <c r="J72" s="28"/>
      <c r="Q72" s="19"/>
      <c r="R72" s="17"/>
      <c r="U72" s="19"/>
      <c r="V72" s="17"/>
      <c r="Y72" s="19"/>
      <c r="Z72" s="17"/>
      <c r="AC72" s="19"/>
    </row>
    <row r="73" spans="2:29" ht="15" customHeight="1" x14ac:dyDescent="0.2">
      <c r="H73" s="28"/>
      <c r="I73" s="28"/>
      <c r="J73" s="28"/>
      <c r="N73" s="8">
        <v>0</v>
      </c>
      <c r="O73" s="9">
        <v>60</v>
      </c>
      <c r="P73" s="5" t="s">
        <v>16</v>
      </c>
      <c r="Q73" s="19"/>
      <c r="R73" s="17"/>
      <c r="U73" s="19"/>
      <c r="V73" s="17"/>
      <c r="Y73" s="19"/>
      <c r="Z73" s="17"/>
      <c r="AC73" s="19"/>
    </row>
    <row r="74" spans="2:29" ht="15" customHeight="1" x14ac:dyDescent="0.2">
      <c r="B74" s="5" t="s">
        <v>49</v>
      </c>
      <c r="C74" s="5" t="s">
        <v>15</v>
      </c>
      <c r="D74" s="5" t="s">
        <v>16</v>
      </c>
      <c r="E74" s="5" t="s">
        <v>20</v>
      </c>
      <c r="F74" s="5" t="s">
        <v>124</v>
      </c>
      <c r="G74" s="5" t="s">
        <v>17</v>
      </c>
      <c r="H74" s="6">
        <v>20.222567646303499</v>
      </c>
      <c r="I74" s="28">
        <f>AVERAGE(H74:H76)</f>
        <v>20.234740527292033</v>
      </c>
      <c r="J74" s="28">
        <f>_xlfn.STDEV.S(H74:H76)</f>
        <v>0.11458179221443468</v>
      </c>
      <c r="N74" s="8">
        <v>0</v>
      </c>
      <c r="O74" s="9">
        <v>60</v>
      </c>
      <c r="P74" s="5" t="s">
        <v>16</v>
      </c>
      <c r="Q74" s="19"/>
      <c r="R74" s="17"/>
      <c r="U74" s="19"/>
      <c r="V74" s="17"/>
      <c r="Y74" s="19"/>
      <c r="Z74" s="17"/>
      <c r="AC74" s="19"/>
    </row>
    <row r="75" spans="2:29" x14ac:dyDescent="0.2">
      <c r="B75" s="5" t="s">
        <v>51</v>
      </c>
      <c r="C75" s="5" t="s">
        <v>15</v>
      </c>
      <c r="D75" s="5" t="s">
        <v>16</v>
      </c>
      <c r="E75" s="5" t="s">
        <v>20</v>
      </c>
      <c r="F75" s="5" t="s">
        <v>124</v>
      </c>
      <c r="G75" s="5" t="s">
        <v>18</v>
      </c>
      <c r="H75" s="6">
        <v>20.1267311622832</v>
      </c>
      <c r="I75" s="28"/>
      <c r="J75" s="28"/>
      <c r="N75" s="8">
        <v>0</v>
      </c>
      <c r="O75" s="9">
        <v>60</v>
      </c>
      <c r="P75" s="5" t="s">
        <v>16</v>
      </c>
      <c r="Q75" s="19"/>
      <c r="R75" s="17"/>
      <c r="U75" s="19"/>
      <c r="V75" s="17"/>
      <c r="Y75" s="19"/>
      <c r="Z75" s="17"/>
      <c r="AC75" s="19"/>
    </row>
    <row r="76" spans="2:29" x14ac:dyDescent="0.2">
      <c r="B76" s="5" t="s">
        <v>52</v>
      </c>
      <c r="C76" s="5" t="s">
        <v>15</v>
      </c>
      <c r="D76" s="5" t="s">
        <v>16</v>
      </c>
      <c r="E76" s="5" t="s">
        <v>20</v>
      </c>
      <c r="F76" s="5" t="s">
        <v>124</v>
      </c>
      <c r="G76" s="5" t="s">
        <v>19</v>
      </c>
      <c r="H76" s="6">
        <v>20.354922773289399</v>
      </c>
      <c r="I76" s="28"/>
      <c r="J76" s="28"/>
      <c r="N76" s="8">
        <v>0</v>
      </c>
      <c r="O76" s="9">
        <v>60</v>
      </c>
      <c r="P76" s="5" t="s">
        <v>16</v>
      </c>
      <c r="Q76" s="19"/>
      <c r="R76" s="17"/>
      <c r="U76" s="19"/>
      <c r="V76" s="17"/>
      <c r="Y76" s="19"/>
      <c r="Z76" s="17"/>
      <c r="AC76" s="19"/>
    </row>
    <row r="77" spans="2:29" x14ac:dyDescent="0.2">
      <c r="H77" s="28"/>
      <c r="I77" s="28"/>
      <c r="J77" s="28"/>
      <c r="N77" s="8">
        <v>0</v>
      </c>
      <c r="O77" s="9">
        <v>60</v>
      </c>
      <c r="P77" s="5" t="s">
        <v>16</v>
      </c>
      <c r="Q77" s="19"/>
      <c r="R77" s="17"/>
      <c r="U77" s="19"/>
      <c r="V77" s="17"/>
      <c r="Y77" s="19"/>
      <c r="Z77" s="17"/>
      <c r="AC77" s="19"/>
    </row>
    <row r="78" spans="2:29" x14ac:dyDescent="0.2">
      <c r="B78" s="5" t="s">
        <v>301</v>
      </c>
      <c r="C78" s="5" t="s">
        <v>15</v>
      </c>
      <c r="D78" s="5" t="s">
        <v>16</v>
      </c>
      <c r="E78" s="5" t="s">
        <v>20</v>
      </c>
      <c r="F78" s="5" t="s">
        <v>125</v>
      </c>
      <c r="G78" s="5" t="s">
        <v>17</v>
      </c>
      <c r="H78" s="6">
        <v>20.1311695895388</v>
      </c>
      <c r="I78" s="28">
        <f>AVERAGE(H78:H80)</f>
        <v>20.162181057947635</v>
      </c>
      <c r="J78" s="28">
        <f>_xlfn.STDEV.S(H78:H80)</f>
        <v>2.8155745343986793E-2</v>
      </c>
      <c r="N78" s="8">
        <v>0</v>
      </c>
      <c r="O78" s="9">
        <v>60</v>
      </c>
      <c r="P78" s="5" t="s">
        <v>16</v>
      </c>
      <c r="Q78" s="19"/>
      <c r="R78" s="17"/>
      <c r="U78" s="19"/>
      <c r="V78" s="17"/>
      <c r="Y78" s="19"/>
      <c r="Z78" s="17"/>
      <c r="AC78" s="19"/>
    </row>
    <row r="79" spans="2:29" x14ac:dyDescent="0.2">
      <c r="B79" s="5" t="s">
        <v>302</v>
      </c>
      <c r="C79" s="5" t="s">
        <v>15</v>
      </c>
      <c r="D79" s="5" t="s">
        <v>16</v>
      </c>
      <c r="E79" s="5" t="s">
        <v>20</v>
      </c>
      <c r="F79" s="5" t="s">
        <v>125</v>
      </c>
      <c r="G79" s="5" t="s">
        <v>18</v>
      </c>
      <c r="H79" s="6">
        <v>20.186140348576501</v>
      </c>
      <c r="I79" s="28"/>
      <c r="J79" s="28"/>
      <c r="N79" s="8">
        <v>0</v>
      </c>
      <c r="O79" s="9">
        <v>60</v>
      </c>
      <c r="P79" s="5" t="s">
        <v>16</v>
      </c>
      <c r="Q79" s="19"/>
      <c r="R79" s="17"/>
      <c r="U79" s="19"/>
      <c r="V79" s="17"/>
      <c r="Y79" s="19"/>
      <c r="Z79" s="17"/>
      <c r="AC79" s="19"/>
    </row>
    <row r="80" spans="2:29" x14ac:dyDescent="0.2">
      <c r="B80" s="5" t="s">
        <v>303</v>
      </c>
      <c r="C80" s="5" t="s">
        <v>15</v>
      </c>
      <c r="D80" s="5" t="s">
        <v>16</v>
      </c>
      <c r="E80" s="5" t="s">
        <v>20</v>
      </c>
      <c r="F80" s="5" t="s">
        <v>125</v>
      </c>
      <c r="G80" s="5" t="s">
        <v>19</v>
      </c>
      <c r="H80" s="6">
        <v>20.169233235727599</v>
      </c>
      <c r="I80" s="28"/>
      <c r="J80" s="28"/>
      <c r="N80" s="8">
        <v>0</v>
      </c>
      <c r="O80" s="9">
        <v>60</v>
      </c>
      <c r="P80" s="5" t="s">
        <v>16</v>
      </c>
      <c r="Q80" s="19"/>
      <c r="R80" s="17"/>
      <c r="U80" s="19"/>
      <c r="V80" s="17"/>
      <c r="Y80" s="19"/>
      <c r="Z80" s="17"/>
      <c r="AC80" s="19"/>
    </row>
    <row r="81" spans="2:29" x14ac:dyDescent="0.2">
      <c r="B81" s="10"/>
      <c r="C81" s="10"/>
      <c r="D81" s="10"/>
      <c r="E81" s="10"/>
      <c r="F81" s="10"/>
      <c r="H81" s="28"/>
      <c r="I81" s="28"/>
      <c r="J81" s="28"/>
      <c r="N81" s="8">
        <v>0</v>
      </c>
      <c r="O81" s="9">
        <v>60</v>
      </c>
      <c r="P81" s="5" t="s">
        <v>16</v>
      </c>
      <c r="Q81" s="19"/>
      <c r="R81" s="17"/>
      <c r="U81" s="19"/>
      <c r="V81" s="17"/>
      <c r="Y81" s="19"/>
      <c r="Z81" s="17"/>
      <c r="AC81" s="19"/>
    </row>
    <row r="82" spans="2:29" x14ac:dyDescent="0.2">
      <c r="B82" s="5" t="s">
        <v>304</v>
      </c>
      <c r="C82" s="5" t="s">
        <v>15</v>
      </c>
      <c r="D82" s="5" t="s">
        <v>16</v>
      </c>
      <c r="E82" s="5" t="s">
        <v>20</v>
      </c>
      <c r="F82" s="5" t="s">
        <v>126</v>
      </c>
      <c r="G82" s="5" t="s">
        <v>17</v>
      </c>
      <c r="H82" s="6">
        <v>20.4318188982081</v>
      </c>
      <c r="I82" s="28">
        <f>AVERAGE(H82:H84)</f>
        <v>20.421979350335764</v>
      </c>
      <c r="J82" s="28">
        <f>_xlfn.STDEV.S(H82:H84)</f>
        <v>0.10651297937104201</v>
      </c>
      <c r="N82" s="8">
        <v>0</v>
      </c>
      <c r="O82" s="9">
        <v>60</v>
      </c>
      <c r="P82" s="5" t="s">
        <v>16</v>
      </c>
      <c r="Q82" s="19"/>
      <c r="R82" s="17"/>
      <c r="U82" s="19"/>
      <c r="V82" s="17"/>
      <c r="Y82" s="19"/>
      <c r="Z82" s="17"/>
      <c r="AC82" s="19"/>
    </row>
    <row r="83" spans="2:29" x14ac:dyDescent="0.2">
      <c r="B83" s="5" t="s">
        <v>305</v>
      </c>
      <c r="C83" s="5" t="s">
        <v>15</v>
      </c>
      <c r="D83" s="5" t="s">
        <v>16</v>
      </c>
      <c r="E83" s="5" t="s">
        <v>20</v>
      </c>
      <c r="F83" s="5" t="s">
        <v>126</v>
      </c>
      <c r="G83" s="5" t="s">
        <v>18</v>
      </c>
      <c r="H83" s="6">
        <v>20.523231146265299</v>
      </c>
      <c r="I83" s="28"/>
      <c r="J83" s="28"/>
      <c r="N83" s="8">
        <v>0</v>
      </c>
      <c r="O83" s="9">
        <v>60</v>
      </c>
      <c r="P83" s="5" t="s">
        <v>16</v>
      </c>
      <c r="Q83" s="19"/>
      <c r="R83" s="17"/>
      <c r="U83" s="19"/>
      <c r="V83" s="17"/>
      <c r="Y83" s="19"/>
      <c r="Z83" s="17"/>
      <c r="AC83" s="19"/>
    </row>
    <row r="84" spans="2:29" x14ac:dyDescent="0.2">
      <c r="B84" s="5" t="s">
        <v>306</v>
      </c>
      <c r="C84" s="5" t="s">
        <v>15</v>
      </c>
      <c r="D84" s="5" t="s">
        <v>16</v>
      </c>
      <c r="E84" s="5" t="s">
        <v>20</v>
      </c>
      <c r="F84" s="5" t="s">
        <v>126</v>
      </c>
      <c r="G84" s="5" t="s">
        <v>19</v>
      </c>
      <c r="H84" s="6">
        <v>20.310888006533901</v>
      </c>
      <c r="I84" s="28"/>
      <c r="J84" s="28"/>
      <c r="N84" s="8">
        <v>0</v>
      </c>
      <c r="O84" s="9">
        <v>60</v>
      </c>
      <c r="P84" s="5" t="s">
        <v>16</v>
      </c>
      <c r="Q84" s="19"/>
      <c r="R84" s="17"/>
      <c r="U84" s="19"/>
      <c r="V84" s="17"/>
      <c r="Y84" s="19"/>
      <c r="Z84" s="17"/>
      <c r="AC84" s="19"/>
    </row>
    <row r="85" spans="2:29" x14ac:dyDescent="0.2">
      <c r="B85" s="10"/>
      <c r="C85" s="10"/>
      <c r="D85" s="10"/>
      <c r="E85" s="10"/>
      <c r="F85" s="10"/>
      <c r="H85" s="28"/>
      <c r="I85" s="28"/>
      <c r="J85" s="28"/>
      <c r="N85" s="8">
        <v>0</v>
      </c>
      <c r="O85" s="9">
        <v>60</v>
      </c>
      <c r="P85" s="5" t="s">
        <v>16</v>
      </c>
      <c r="Q85" s="19"/>
      <c r="R85" s="17"/>
      <c r="U85" s="19"/>
      <c r="V85" s="17"/>
      <c r="Y85" s="19"/>
      <c r="Z85" s="17"/>
      <c r="AC85" s="19"/>
    </row>
    <row r="86" spans="2:29" x14ac:dyDescent="0.2">
      <c r="B86" s="5" t="s">
        <v>307</v>
      </c>
      <c r="C86" s="5" t="s">
        <v>15</v>
      </c>
      <c r="D86" s="5" t="s">
        <v>16</v>
      </c>
      <c r="E86" s="5" t="s">
        <v>20</v>
      </c>
      <c r="F86" s="5" t="s">
        <v>127</v>
      </c>
      <c r="G86" s="5" t="s">
        <v>17</v>
      </c>
      <c r="H86" s="6">
        <v>20.123465088639701</v>
      </c>
      <c r="I86" s="28">
        <f>AVERAGE(H86:H88)</f>
        <v>20.145409994684101</v>
      </c>
      <c r="J86" s="28">
        <f>_xlfn.STDEV.S(H86:H88)</f>
        <v>3.1841469269711514E-2</v>
      </c>
      <c r="N86" s="8">
        <v>0</v>
      </c>
      <c r="O86" s="9">
        <v>60</v>
      </c>
      <c r="P86" s="5" t="s">
        <v>16</v>
      </c>
      <c r="Q86" s="19"/>
      <c r="R86" s="17"/>
      <c r="U86" s="19"/>
      <c r="V86" s="17"/>
      <c r="Y86" s="19"/>
      <c r="Z86" s="17"/>
      <c r="AC86" s="19"/>
    </row>
    <row r="87" spans="2:29" x14ac:dyDescent="0.2">
      <c r="B87" s="5" t="s">
        <v>308</v>
      </c>
      <c r="C87" s="5" t="s">
        <v>15</v>
      </c>
      <c r="D87" s="5" t="s">
        <v>16</v>
      </c>
      <c r="E87" s="5" t="s">
        <v>20</v>
      </c>
      <c r="F87" s="5" t="s">
        <v>127</v>
      </c>
      <c r="G87" s="5" t="s">
        <v>18</v>
      </c>
      <c r="H87" s="6">
        <v>20.130834551720898</v>
      </c>
      <c r="I87" s="28"/>
      <c r="J87" s="28"/>
      <c r="N87" s="8">
        <v>0</v>
      </c>
      <c r="O87" s="9">
        <v>60</v>
      </c>
      <c r="P87" s="5" t="s">
        <v>16</v>
      </c>
      <c r="Q87" s="19"/>
      <c r="R87" s="17"/>
      <c r="U87" s="19"/>
      <c r="V87" s="17"/>
      <c r="Y87" s="19"/>
      <c r="Z87" s="17"/>
      <c r="AC87" s="19"/>
    </row>
    <row r="88" spans="2:29" x14ac:dyDescent="0.2">
      <c r="B88" s="5" t="s">
        <v>309</v>
      </c>
      <c r="C88" s="5" t="s">
        <v>15</v>
      </c>
      <c r="D88" s="5" t="s">
        <v>16</v>
      </c>
      <c r="E88" s="5" t="s">
        <v>20</v>
      </c>
      <c r="F88" s="5" t="s">
        <v>127</v>
      </c>
      <c r="G88" s="5" t="s">
        <v>19</v>
      </c>
      <c r="H88" s="6">
        <v>20.1819303436917</v>
      </c>
      <c r="I88" s="28"/>
      <c r="J88" s="28"/>
      <c r="N88" s="8">
        <v>0</v>
      </c>
      <c r="O88" s="9">
        <v>60</v>
      </c>
      <c r="P88" s="5" t="s">
        <v>16</v>
      </c>
      <c r="Q88" s="19"/>
      <c r="R88" s="17"/>
      <c r="U88" s="19"/>
      <c r="V88" s="17"/>
      <c r="Y88" s="19"/>
      <c r="Z88" s="17"/>
      <c r="AC88" s="19"/>
    </row>
    <row r="89" spans="2:29" x14ac:dyDescent="0.2">
      <c r="H89" s="28"/>
      <c r="I89" s="28"/>
      <c r="J89" s="28"/>
      <c r="Q89" s="19"/>
      <c r="R89" s="17"/>
      <c r="U89" s="19"/>
      <c r="V89" s="17"/>
      <c r="Y89" s="19"/>
      <c r="Z89" s="17"/>
      <c r="AC89" s="19"/>
    </row>
    <row r="90" spans="2:29" x14ac:dyDescent="0.2">
      <c r="B90" s="5" t="s">
        <v>310</v>
      </c>
      <c r="C90" s="5" t="s">
        <v>15</v>
      </c>
      <c r="D90" s="5" t="s">
        <v>16</v>
      </c>
      <c r="E90" s="5" t="s">
        <v>20</v>
      </c>
      <c r="F90" s="5" t="s">
        <v>128</v>
      </c>
      <c r="G90" s="5" t="s">
        <v>17</v>
      </c>
      <c r="H90" s="6">
        <v>20.780932616347801</v>
      </c>
      <c r="I90" s="28">
        <f>AVERAGE(H90:H92)</f>
        <v>20.6895545026143</v>
      </c>
      <c r="J90" s="28">
        <f>_xlfn.STDEV.S(H90:H92)</f>
        <v>8.1058785198455621E-2</v>
      </c>
      <c r="N90" s="8">
        <v>0</v>
      </c>
      <c r="O90" s="9">
        <v>60</v>
      </c>
      <c r="P90" s="5" t="s">
        <v>16</v>
      </c>
      <c r="Q90" s="19"/>
      <c r="R90" s="17"/>
      <c r="U90" s="19"/>
      <c r="V90" s="17"/>
      <c r="Y90" s="19"/>
      <c r="Z90" s="17"/>
      <c r="AC90" s="19"/>
    </row>
    <row r="91" spans="2:29" x14ac:dyDescent="0.2">
      <c r="B91" s="5" t="s">
        <v>311</v>
      </c>
      <c r="C91" s="5" t="s">
        <v>15</v>
      </c>
      <c r="D91" s="5" t="s">
        <v>16</v>
      </c>
      <c r="E91" s="5" t="s">
        <v>20</v>
      </c>
      <c r="F91" s="5" t="s">
        <v>128</v>
      </c>
      <c r="G91" s="5" t="s">
        <v>18</v>
      </c>
      <c r="H91" s="6">
        <v>20.626313895795199</v>
      </c>
      <c r="I91" s="28"/>
      <c r="J91" s="28"/>
      <c r="N91" s="8">
        <v>0</v>
      </c>
      <c r="O91" s="9">
        <v>60</v>
      </c>
      <c r="P91" s="5" t="s">
        <v>16</v>
      </c>
      <c r="Q91" s="19"/>
      <c r="R91" s="17"/>
      <c r="U91" s="19"/>
      <c r="V91" s="17"/>
      <c r="Y91" s="19"/>
      <c r="Z91" s="17"/>
      <c r="AC91" s="19"/>
    </row>
    <row r="92" spans="2:29" x14ac:dyDescent="0.2">
      <c r="B92" s="5" t="s">
        <v>312</v>
      </c>
      <c r="C92" s="5" t="s">
        <v>15</v>
      </c>
      <c r="D92" s="5" t="s">
        <v>16</v>
      </c>
      <c r="E92" s="5" t="s">
        <v>20</v>
      </c>
      <c r="F92" s="5" t="s">
        <v>128</v>
      </c>
      <c r="G92" s="5" t="s">
        <v>19</v>
      </c>
      <c r="H92" s="6">
        <v>20.661416995699899</v>
      </c>
      <c r="I92" s="28"/>
      <c r="J92" s="28"/>
      <c r="N92" s="8">
        <v>0</v>
      </c>
      <c r="O92" s="9">
        <v>60</v>
      </c>
      <c r="P92" s="5" t="s">
        <v>16</v>
      </c>
      <c r="Q92" s="19"/>
      <c r="R92" s="17"/>
      <c r="U92" s="19"/>
      <c r="V92" s="17"/>
      <c r="Y92" s="19"/>
      <c r="Z92" s="17"/>
      <c r="AC92" s="19"/>
    </row>
    <row r="93" spans="2:29" x14ac:dyDescent="0.2">
      <c r="H93" s="28"/>
      <c r="I93" s="28"/>
      <c r="J93" s="28"/>
      <c r="Q93" s="19"/>
      <c r="R93" s="17"/>
      <c r="U93" s="19"/>
      <c r="V93" s="17"/>
      <c r="Y93" s="19"/>
      <c r="Z93" s="17"/>
      <c r="AC93" s="19"/>
    </row>
    <row r="94" spans="2:29" x14ac:dyDescent="0.2">
      <c r="B94" s="5" t="s">
        <v>53</v>
      </c>
      <c r="C94" s="5" t="s">
        <v>15</v>
      </c>
      <c r="D94" s="5" t="s">
        <v>16</v>
      </c>
      <c r="E94" s="5" t="s">
        <v>20</v>
      </c>
      <c r="F94" s="5" t="s">
        <v>129</v>
      </c>
      <c r="G94" s="5" t="s">
        <v>17</v>
      </c>
      <c r="H94" s="6">
        <v>20.1835961750316</v>
      </c>
      <c r="I94" s="28">
        <f>AVERAGE(H94:H96)</f>
        <v>20.13618410604883</v>
      </c>
      <c r="J94" s="28">
        <f>_xlfn.STDEV.S(H94:H96)</f>
        <v>4.1100423434668819E-2</v>
      </c>
      <c r="N94" s="8">
        <v>0</v>
      </c>
      <c r="O94" s="9">
        <v>60</v>
      </c>
      <c r="P94" s="5" t="s">
        <v>16</v>
      </c>
      <c r="Q94" s="19"/>
      <c r="R94" s="17"/>
      <c r="U94" s="19"/>
      <c r="V94" s="17"/>
      <c r="Y94" s="19"/>
      <c r="Z94" s="17"/>
      <c r="AC94" s="19"/>
    </row>
    <row r="95" spans="2:29" x14ac:dyDescent="0.2">
      <c r="B95" s="5" t="s">
        <v>54</v>
      </c>
      <c r="C95" s="5" t="s">
        <v>15</v>
      </c>
      <c r="D95" s="5" t="s">
        <v>16</v>
      </c>
      <c r="E95" s="5" t="s">
        <v>20</v>
      </c>
      <c r="F95" s="5" t="s">
        <v>129</v>
      </c>
      <c r="G95" s="5" t="s">
        <v>18</v>
      </c>
      <c r="H95" s="6">
        <v>20.1142992230034</v>
      </c>
      <c r="I95" s="28"/>
      <c r="J95" s="28"/>
      <c r="N95" s="8">
        <v>0</v>
      </c>
      <c r="O95" s="9">
        <v>60</v>
      </c>
      <c r="P95" s="5" t="s">
        <v>16</v>
      </c>
      <c r="Q95" s="19"/>
      <c r="R95" s="17"/>
      <c r="U95" s="19"/>
      <c r="V95" s="17"/>
      <c r="Y95" s="19"/>
      <c r="Z95" s="17"/>
      <c r="AC95" s="19"/>
    </row>
    <row r="96" spans="2:29" x14ac:dyDescent="0.2">
      <c r="B96" s="5" t="s">
        <v>55</v>
      </c>
      <c r="C96" s="5" t="s">
        <v>15</v>
      </c>
      <c r="D96" s="5" t="s">
        <v>16</v>
      </c>
      <c r="E96" s="5" t="s">
        <v>20</v>
      </c>
      <c r="F96" s="5" t="s">
        <v>129</v>
      </c>
      <c r="G96" s="5" t="s">
        <v>19</v>
      </c>
      <c r="H96" s="6">
        <v>20.110656920111499</v>
      </c>
      <c r="I96" s="28"/>
      <c r="J96" s="28"/>
      <c r="N96" s="8">
        <v>0</v>
      </c>
      <c r="O96" s="9">
        <v>60</v>
      </c>
      <c r="P96" s="5" t="s">
        <v>16</v>
      </c>
      <c r="Q96" s="19"/>
      <c r="R96" s="17"/>
      <c r="U96" s="19"/>
      <c r="V96" s="17"/>
      <c r="Y96" s="19"/>
      <c r="Z96" s="17"/>
      <c r="AC96" s="19"/>
    </row>
    <row r="97" spans="2:29" x14ac:dyDescent="0.2">
      <c r="H97" s="28"/>
      <c r="I97" s="28"/>
      <c r="J97" s="28"/>
      <c r="Q97" s="19"/>
      <c r="R97" s="17"/>
      <c r="U97" s="19"/>
      <c r="V97" s="17"/>
      <c r="Y97" s="19"/>
      <c r="Z97" s="17"/>
      <c r="AC97" s="19"/>
    </row>
    <row r="98" spans="2:29" x14ac:dyDescent="0.2">
      <c r="B98" s="5" t="s">
        <v>56</v>
      </c>
      <c r="C98" s="5" t="s">
        <v>15</v>
      </c>
      <c r="D98" s="5" t="s">
        <v>16</v>
      </c>
      <c r="E98" s="5" t="s">
        <v>20</v>
      </c>
      <c r="F98" s="5" t="s">
        <v>130</v>
      </c>
      <c r="G98" s="5" t="s">
        <v>17</v>
      </c>
      <c r="H98" s="6">
        <v>20.1744554012514</v>
      </c>
      <c r="I98" s="28">
        <f>AVERAGE(H98:H100)</f>
        <v>20.400074137518533</v>
      </c>
      <c r="J98" s="28">
        <f>_xlfn.STDEV.S(H98:H100)</f>
        <v>0.19703068307570945</v>
      </c>
      <c r="N98" s="8">
        <v>0</v>
      </c>
      <c r="O98" s="9">
        <v>60</v>
      </c>
      <c r="P98" s="5" t="s">
        <v>16</v>
      </c>
      <c r="Q98" s="19"/>
      <c r="R98" s="17"/>
      <c r="U98" s="19"/>
      <c r="V98" s="17"/>
      <c r="Y98" s="19"/>
      <c r="Z98" s="17"/>
      <c r="AC98" s="19"/>
    </row>
    <row r="99" spans="2:29" x14ac:dyDescent="0.2">
      <c r="B99" s="5" t="s">
        <v>57</v>
      </c>
      <c r="C99" s="5" t="s">
        <v>15</v>
      </c>
      <c r="D99" s="5" t="s">
        <v>16</v>
      </c>
      <c r="E99" s="5" t="s">
        <v>20</v>
      </c>
      <c r="F99" s="5" t="s">
        <v>130</v>
      </c>
      <c r="G99" s="5" t="s">
        <v>18</v>
      </c>
      <c r="H99" s="6">
        <v>20.487521536935201</v>
      </c>
      <c r="I99" s="28"/>
      <c r="J99" s="28"/>
      <c r="N99" s="8">
        <v>0</v>
      </c>
      <c r="O99" s="9">
        <v>60</v>
      </c>
      <c r="P99" s="5" t="s">
        <v>16</v>
      </c>
      <c r="Q99" s="19"/>
      <c r="R99" s="17"/>
      <c r="U99" s="19"/>
      <c r="V99" s="17"/>
      <c r="Y99" s="19"/>
      <c r="Z99" s="17"/>
      <c r="AC99" s="19"/>
    </row>
    <row r="100" spans="2:29" x14ac:dyDescent="0.2">
      <c r="B100" s="5" t="s">
        <v>58</v>
      </c>
      <c r="C100" s="5" t="s">
        <v>15</v>
      </c>
      <c r="D100" s="5" t="s">
        <v>16</v>
      </c>
      <c r="E100" s="5" t="s">
        <v>20</v>
      </c>
      <c r="F100" s="5" t="s">
        <v>130</v>
      </c>
      <c r="G100" s="5" t="s">
        <v>19</v>
      </c>
      <c r="H100" s="6">
        <v>20.538245474368999</v>
      </c>
      <c r="I100" s="28"/>
      <c r="J100" s="28"/>
      <c r="N100" s="8">
        <v>0</v>
      </c>
      <c r="O100" s="9">
        <v>60</v>
      </c>
      <c r="P100" s="5" t="s">
        <v>16</v>
      </c>
      <c r="Q100" s="19"/>
      <c r="R100" s="17"/>
      <c r="U100" s="19"/>
      <c r="V100" s="17"/>
      <c r="Y100" s="19"/>
      <c r="Z100" s="17"/>
      <c r="AC100" s="19"/>
    </row>
    <row r="101" spans="2:29" ht="19" x14ac:dyDescent="0.2">
      <c r="B101" s="11"/>
      <c r="C101" s="11"/>
      <c r="D101" s="11"/>
      <c r="E101" s="11"/>
      <c r="F101" s="11"/>
      <c r="G101" s="11"/>
      <c r="H101" s="29"/>
      <c r="I101" s="29"/>
      <c r="J101" s="29"/>
      <c r="K101" s="13"/>
      <c r="L101" s="12"/>
      <c r="M101" s="13"/>
      <c r="N101" s="13">
        <v>0</v>
      </c>
      <c r="O101" s="14">
        <v>60</v>
      </c>
      <c r="P101" s="11" t="s">
        <v>16</v>
      </c>
      <c r="Q101" s="20"/>
      <c r="R101" s="16"/>
      <c r="U101" s="20"/>
      <c r="V101" s="16"/>
      <c r="Y101" s="20"/>
      <c r="Z101" s="16"/>
      <c r="AC101" s="20"/>
    </row>
    <row r="102" spans="2:29" x14ac:dyDescent="0.2">
      <c r="B102" s="21"/>
      <c r="C102" s="21"/>
      <c r="D102" s="21"/>
      <c r="E102" s="21"/>
      <c r="F102" s="21"/>
      <c r="G102" s="21"/>
      <c r="H102" s="30"/>
      <c r="I102" s="30"/>
      <c r="J102" s="30"/>
      <c r="K102" s="21"/>
      <c r="L102" s="21"/>
      <c r="M102" s="21"/>
      <c r="N102" s="21">
        <v>0</v>
      </c>
      <c r="O102" s="21">
        <v>60</v>
      </c>
      <c r="P102" s="21" t="s">
        <v>16</v>
      </c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2:29" x14ac:dyDescent="0.2">
      <c r="B103" s="10"/>
      <c r="C103" s="10"/>
      <c r="D103" s="10"/>
      <c r="E103" s="10"/>
      <c r="F103" s="10"/>
      <c r="G103" s="10"/>
      <c r="H103" s="28"/>
      <c r="I103" s="28"/>
      <c r="J103" s="28"/>
      <c r="K103" s="10"/>
      <c r="L103" s="10"/>
      <c r="M103" s="10"/>
      <c r="N103" s="10"/>
      <c r="O103" s="10"/>
      <c r="P103" s="10"/>
      <c r="Q103" s="19"/>
      <c r="R103" s="17"/>
      <c r="U103" s="19"/>
      <c r="V103" s="17"/>
      <c r="Y103" s="19"/>
      <c r="Z103" s="17"/>
      <c r="AC103" s="19"/>
    </row>
    <row r="104" spans="2:29" x14ac:dyDescent="0.2">
      <c r="B104" s="5" t="s">
        <v>59</v>
      </c>
      <c r="C104" s="5" t="s">
        <v>15</v>
      </c>
      <c r="D104" s="5" t="s">
        <v>16</v>
      </c>
      <c r="E104" s="5" t="s">
        <v>20</v>
      </c>
      <c r="F104" s="5" t="s">
        <v>262</v>
      </c>
      <c r="G104" s="5" t="s">
        <v>17</v>
      </c>
      <c r="H104" s="6">
        <v>21.4381046029403</v>
      </c>
      <c r="I104" s="28">
        <f>AVERAGE(H104:H106)</f>
        <v>21.335095011628297</v>
      </c>
      <c r="J104" s="28">
        <f>_xlfn.STDEV.S(H104:H106)</f>
        <v>9.8295856266047574E-2</v>
      </c>
      <c r="N104" s="8">
        <v>0</v>
      </c>
      <c r="O104" s="9">
        <v>60</v>
      </c>
      <c r="P104" s="5" t="s">
        <v>16</v>
      </c>
      <c r="Q104" s="19"/>
      <c r="R104" s="17"/>
      <c r="U104" s="19"/>
      <c r="V104" s="17"/>
      <c r="Y104" s="19"/>
      <c r="Z104" s="17"/>
      <c r="AC104" s="19"/>
    </row>
    <row r="105" spans="2:29" x14ac:dyDescent="0.2">
      <c r="B105" s="5" t="s">
        <v>60</v>
      </c>
      <c r="C105" s="5" t="s">
        <v>15</v>
      </c>
      <c r="D105" s="5" t="s">
        <v>16</v>
      </c>
      <c r="E105" s="5" t="s">
        <v>20</v>
      </c>
      <c r="F105" s="5" t="s">
        <v>262</v>
      </c>
      <c r="G105" s="5" t="s">
        <v>18</v>
      </c>
      <c r="H105" s="6">
        <v>21.242312577566299</v>
      </c>
      <c r="I105" s="28"/>
      <c r="J105" s="28"/>
      <c r="Q105" s="19"/>
      <c r="R105" s="17"/>
      <c r="U105" s="19"/>
      <c r="V105" s="17"/>
      <c r="Y105" s="19"/>
      <c r="Z105" s="17"/>
      <c r="AC105" s="19"/>
    </row>
    <row r="106" spans="2:29" x14ac:dyDescent="0.2">
      <c r="B106" s="5" t="s">
        <v>61</v>
      </c>
      <c r="C106" s="5" t="s">
        <v>15</v>
      </c>
      <c r="D106" s="5" t="s">
        <v>16</v>
      </c>
      <c r="E106" s="5" t="s">
        <v>20</v>
      </c>
      <c r="F106" s="5" t="s">
        <v>262</v>
      </c>
      <c r="G106" s="5" t="s">
        <v>19</v>
      </c>
      <c r="H106" s="6">
        <v>21.324867854378301</v>
      </c>
      <c r="I106" s="28"/>
      <c r="J106" s="28"/>
      <c r="Q106" s="19"/>
      <c r="R106" s="17"/>
      <c r="U106" s="19"/>
      <c r="V106" s="17"/>
      <c r="Y106" s="19"/>
      <c r="Z106" s="17"/>
      <c r="AC106" s="19"/>
    </row>
    <row r="107" spans="2:29" x14ac:dyDescent="0.2">
      <c r="H107" s="28"/>
      <c r="I107" s="28"/>
      <c r="J107" s="28"/>
      <c r="N107" s="8">
        <v>0</v>
      </c>
      <c r="O107" s="9">
        <v>60</v>
      </c>
      <c r="P107" s="5" t="s">
        <v>16</v>
      </c>
      <c r="Q107" s="19"/>
      <c r="R107" s="17"/>
      <c r="U107" s="19"/>
      <c r="V107" s="17"/>
      <c r="Y107" s="19"/>
      <c r="Z107" s="17"/>
      <c r="AC107" s="19"/>
    </row>
    <row r="108" spans="2:29" x14ac:dyDescent="0.2">
      <c r="B108" s="5" t="s">
        <v>62</v>
      </c>
      <c r="C108" s="5" t="s">
        <v>15</v>
      </c>
      <c r="D108" s="5" t="s">
        <v>16</v>
      </c>
      <c r="E108" s="5" t="s">
        <v>20</v>
      </c>
      <c r="F108" s="5" t="s">
        <v>131</v>
      </c>
      <c r="G108" s="5" t="s">
        <v>17</v>
      </c>
      <c r="H108" s="6">
        <v>20.403049799384199</v>
      </c>
      <c r="I108" s="28">
        <f>AVERAGE(H108:H110)</f>
        <v>20.406721060689602</v>
      </c>
      <c r="J108" s="28">
        <f>_xlfn.STDEV.S(H108:H110)</f>
        <v>9.5447847847977441E-2</v>
      </c>
      <c r="N108" s="8">
        <v>0</v>
      </c>
      <c r="O108" s="9">
        <v>60</v>
      </c>
      <c r="P108" s="5" t="s">
        <v>16</v>
      </c>
      <c r="Q108" s="19"/>
      <c r="R108" s="17"/>
      <c r="U108" s="19"/>
      <c r="V108" s="17"/>
      <c r="Y108" s="19"/>
      <c r="Z108" s="17"/>
      <c r="AC108" s="19"/>
    </row>
    <row r="109" spans="2:29" x14ac:dyDescent="0.2">
      <c r="B109" s="5" t="s">
        <v>63</v>
      </c>
      <c r="C109" s="5" t="s">
        <v>15</v>
      </c>
      <c r="D109" s="5" t="s">
        <v>16</v>
      </c>
      <c r="E109" s="5" t="s">
        <v>20</v>
      </c>
      <c r="F109" s="5" t="s">
        <v>131</v>
      </c>
      <c r="G109" s="5" t="s">
        <v>18</v>
      </c>
      <c r="H109" s="6">
        <v>20.503951570864899</v>
      </c>
      <c r="I109" s="28"/>
      <c r="J109" s="28"/>
      <c r="N109" s="8">
        <v>0</v>
      </c>
      <c r="O109" s="9">
        <v>60</v>
      </c>
      <c r="P109" s="5" t="s">
        <v>16</v>
      </c>
      <c r="Q109" s="19"/>
      <c r="R109" s="17"/>
      <c r="U109" s="19"/>
      <c r="V109" s="17"/>
      <c r="Y109" s="19"/>
      <c r="Z109" s="17"/>
      <c r="AC109" s="19"/>
    </row>
    <row r="110" spans="2:29" x14ac:dyDescent="0.2">
      <c r="B110" s="5" t="s">
        <v>64</v>
      </c>
      <c r="C110" s="5" t="s">
        <v>15</v>
      </c>
      <c r="D110" s="5" t="s">
        <v>16</v>
      </c>
      <c r="E110" s="5" t="s">
        <v>20</v>
      </c>
      <c r="F110" s="5" t="s">
        <v>131</v>
      </c>
      <c r="G110" s="5" t="s">
        <v>19</v>
      </c>
      <c r="H110" s="6">
        <v>20.3131618118197</v>
      </c>
      <c r="I110" s="28"/>
      <c r="J110" s="28"/>
      <c r="N110" s="8">
        <v>0</v>
      </c>
      <c r="O110" s="9">
        <v>60</v>
      </c>
      <c r="P110" s="5" t="s">
        <v>16</v>
      </c>
      <c r="Q110" s="19"/>
      <c r="R110" s="17"/>
      <c r="U110" s="19"/>
      <c r="V110" s="17"/>
      <c r="Y110" s="19"/>
      <c r="Z110" s="17"/>
      <c r="AC110" s="19"/>
    </row>
    <row r="111" spans="2:29" x14ac:dyDescent="0.2">
      <c r="H111" s="28"/>
      <c r="I111" s="28"/>
      <c r="J111" s="28"/>
      <c r="N111" s="8">
        <v>0</v>
      </c>
      <c r="O111" s="9">
        <v>60</v>
      </c>
      <c r="P111" s="5" t="s">
        <v>16</v>
      </c>
      <c r="Q111" s="19"/>
      <c r="R111" s="17"/>
      <c r="U111" s="19"/>
      <c r="V111" s="17"/>
      <c r="Y111" s="19"/>
      <c r="Z111" s="17"/>
      <c r="AC111" s="19"/>
    </row>
    <row r="112" spans="2:29" x14ac:dyDescent="0.2">
      <c r="B112" s="5" t="s">
        <v>65</v>
      </c>
      <c r="C112" s="5" t="s">
        <v>15</v>
      </c>
      <c r="D112" s="5" t="s">
        <v>16</v>
      </c>
      <c r="E112" s="5" t="s">
        <v>20</v>
      </c>
      <c r="F112" s="5" t="s">
        <v>132</v>
      </c>
      <c r="G112" s="5" t="s">
        <v>17</v>
      </c>
      <c r="H112" s="6">
        <v>20.077241242105899</v>
      </c>
      <c r="I112" s="28">
        <f>AVERAGE(H112:H114)</f>
        <v>20.019931551556436</v>
      </c>
      <c r="J112" s="28">
        <f>_xlfn.STDEV.S(H112:H114)</f>
        <v>6.6693881687328913E-2</v>
      </c>
      <c r="N112" s="8">
        <v>0</v>
      </c>
      <c r="O112" s="9">
        <v>60</v>
      </c>
      <c r="P112" s="5" t="s">
        <v>16</v>
      </c>
      <c r="Q112" s="19"/>
      <c r="R112" s="17"/>
      <c r="U112" s="19"/>
      <c r="V112" s="17"/>
      <c r="Y112" s="19"/>
      <c r="Z112" s="17"/>
      <c r="AC112" s="19"/>
    </row>
    <row r="113" spans="2:29" x14ac:dyDescent="0.2">
      <c r="B113" s="5" t="s">
        <v>66</v>
      </c>
      <c r="C113" s="5" t="s">
        <v>15</v>
      </c>
      <c r="D113" s="5" t="s">
        <v>16</v>
      </c>
      <c r="E113" s="5" t="s">
        <v>20</v>
      </c>
      <c r="F113" s="5" t="s">
        <v>132</v>
      </c>
      <c r="G113" s="5" t="s">
        <v>18</v>
      </c>
      <c r="H113" s="6">
        <v>19.946725910762801</v>
      </c>
      <c r="I113" s="28"/>
      <c r="J113" s="28"/>
      <c r="N113" s="8">
        <v>0</v>
      </c>
      <c r="O113" s="9">
        <v>60</v>
      </c>
      <c r="P113" s="5" t="s">
        <v>16</v>
      </c>
      <c r="Q113" s="19"/>
      <c r="R113" s="17"/>
      <c r="U113" s="19"/>
      <c r="V113" s="17"/>
      <c r="Y113" s="19"/>
      <c r="Z113" s="17"/>
      <c r="AC113" s="19"/>
    </row>
    <row r="114" spans="2:29" x14ac:dyDescent="0.2">
      <c r="B114" s="5" t="s">
        <v>67</v>
      </c>
      <c r="C114" s="5" t="s">
        <v>15</v>
      </c>
      <c r="D114" s="5" t="s">
        <v>16</v>
      </c>
      <c r="E114" s="5" t="s">
        <v>20</v>
      </c>
      <c r="F114" s="5" t="s">
        <v>132</v>
      </c>
      <c r="G114" s="5" t="s">
        <v>19</v>
      </c>
      <c r="H114" s="6">
        <v>20.0358275018006</v>
      </c>
      <c r="I114" s="28"/>
      <c r="J114" s="28"/>
      <c r="N114" s="8">
        <v>0</v>
      </c>
      <c r="O114" s="9">
        <v>60</v>
      </c>
      <c r="P114" s="5" t="s">
        <v>16</v>
      </c>
      <c r="Q114" s="19"/>
      <c r="R114" s="17"/>
      <c r="U114" s="19"/>
      <c r="V114" s="17"/>
      <c r="Y114" s="19"/>
      <c r="Z114" s="17"/>
      <c r="AC114" s="19"/>
    </row>
    <row r="115" spans="2:29" x14ac:dyDescent="0.2">
      <c r="B115" s="10"/>
      <c r="C115" s="10"/>
      <c r="D115" s="10"/>
      <c r="E115" s="10"/>
      <c r="F115" s="10"/>
      <c r="H115" s="28"/>
      <c r="I115" s="28"/>
      <c r="J115" s="28"/>
      <c r="N115" s="8">
        <v>0</v>
      </c>
      <c r="O115" s="9">
        <v>60</v>
      </c>
      <c r="P115" s="5" t="s">
        <v>16</v>
      </c>
      <c r="Q115" s="19"/>
      <c r="R115" s="17"/>
      <c r="U115" s="19"/>
      <c r="V115" s="17"/>
      <c r="Y115" s="19"/>
      <c r="Z115" s="17"/>
      <c r="AC115" s="19"/>
    </row>
    <row r="116" spans="2:29" x14ac:dyDescent="0.2">
      <c r="B116" s="5" t="s">
        <v>68</v>
      </c>
      <c r="C116" s="5" t="s">
        <v>15</v>
      </c>
      <c r="D116" s="5" t="s">
        <v>16</v>
      </c>
      <c r="E116" s="5" t="s">
        <v>20</v>
      </c>
      <c r="F116" s="5" t="s">
        <v>133</v>
      </c>
      <c r="G116" s="5" t="s">
        <v>17</v>
      </c>
      <c r="H116" s="6">
        <v>20.3240488130307</v>
      </c>
      <c r="I116" s="28">
        <f>AVERAGE(H116:H118)</f>
        <v>20.300088805576234</v>
      </c>
      <c r="J116" s="28">
        <f>_xlfn.STDEV.S(H116:H118)</f>
        <v>3.9503880471244042E-2</v>
      </c>
      <c r="N116" s="8">
        <v>0</v>
      </c>
      <c r="O116" s="9">
        <v>60</v>
      </c>
      <c r="P116" s="5" t="s">
        <v>16</v>
      </c>
      <c r="Q116" s="19"/>
      <c r="R116" s="17"/>
      <c r="U116" s="19"/>
      <c r="V116" s="17"/>
      <c r="Y116" s="19"/>
      <c r="Z116" s="17"/>
      <c r="AC116" s="19"/>
    </row>
    <row r="117" spans="2:29" x14ac:dyDescent="0.2">
      <c r="B117" s="5" t="s">
        <v>69</v>
      </c>
      <c r="C117" s="5" t="s">
        <v>15</v>
      </c>
      <c r="D117" s="5" t="s">
        <v>16</v>
      </c>
      <c r="E117" s="5" t="s">
        <v>20</v>
      </c>
      <c r="F117" s="5" t="s">
        <v>133</v>
      </c>
      <c r="G117" s="5" t="s">
        <v>18</v>
      </c>
      <c r="H117" s="6">
        <v>20.3217242016588</v>
      </c>
      <c r="I117" s="28"/>
      <c r="J117" s="28"/>
      <c r="N117" s="8">
        <v>0</v>
      </c>
      <c r="O117" s="9">
        <v>60</v>
      </c>
      <c r="P117" s="5" t="s">
        <v>16</v>
      </c>
      <c r="Q117" s="19"/>
      <c r="R117" s="17"/>
      <c r="U117" s="19"/>
      <c r="V117" s="17"/>
      <c r="Y117" s="19"/>
      <c r="Z117" s="17"/>
      <c r="AC117" s="19"/>
    </row>
    <row r="118" spans="2:29" x14ac:dyDescent="0.2">
      <c r="B118" s="5" t="s">
        <v>70</v>
      </c>
      <c r="C118" s="5" t="s">
        <v>15</v>
      </c>
      <c r="D118" s="5" t="s">
        <v>16</v>
      </c>
      <c r="E118" s="5" t="s">
        <v>20</v>
      </c>
      <c r="F118" s="5" t="s">
        <v>133</v>
      </c>
      <c r="G118" s="5" t="s">
        <v>19</v>
      </c>
      <c r="H118" s="6">
        <v>20.254493402039198</v>
      </c>
      <c r="I118" s="28"/>
      <c r="J118" s="28"/>
      <c r="N118" s="8">
        <v>0</v>
      </c>
      <c r="O118" s="9">
        <v>60</v>
      </c>
      <c r="P118" s="5" t="s">
        <v>16</v>
      </c>
      <c r="Q118" s="19"/>
      <c r="R118" s="17"/>
      <c r="U118" s="19"/>
      <c r="V118" s="17"/>
      <c r="Y118" s="19"/>
      <c r="Z118" s="17"/>
      <c r="AC118" s="19"/>
    </row>
    <row r="119" spans="2:29" x14ac:dyDescent="0.2">
      <c r="C119" s="10"/>
      <c r="D119" s="10"/>
      <c r="E119" s="10"/>
      <c r="F119" s="10"/>
      <c r="H119" s="28"/>
      <c r="I119" s="28"/>
      <c r="J119" s="28"/>
      <c r="N119" s="8">
        <v>0</v>
      </c>
      <c r="O119" s="9">
        <v>60</v>
      </c>
      <c r="P119" s="5" t="s">
        <v>16</v>
      </c>
      <c r="Q119" s="19"/>
      <c r="R119" s="17"/>
      <c r="U119" s="19"/>
      <c r="V119" s="17"/>
      <c r="Y119" s="19"/>
      <c r="Z119" s="17"/>
      <c r="AC119" s="19"/>
    </row>
    <row r="120" spans="2:29" x14ac:dyDescent="0.2">
      <c r="B120" s="5" t="s">
        <v>71</v>
      </c>
      <c r="C120" s="5" t="s">
        <v>15</v>
      </c>
      <c r="D120" s="5" t="s">
        <v>16</v>
      </c>
      <c r="E120" s="5" t="s">
        <v>20</v>
      </c>
      <c r="F120" s="5" t="s">
        <v>134</v>
      </c>
      <c r="G120" s="5" t="s">
        <v>17</v>
      </c>
      <c r="H120" s="6">
        <v>20.544199803195799</v>
      </c>
      <c r="I120" s="28">
        <f>AVERAGE(H120:H122)</f>
        <v>20.611345272306234</v>
      </c>
      <c r="J120" s="28">
        <f>_xlfn.STDEV.S(H120:H122)</f>
        <v>7.6820985206919434E-2</v>
      </c>
      <c r="N120" s="8">
        <v>0</v>
      </c>
      <c r="O120" s="9">
        <v>60</v>
      </c>
      <c r="P120" s="5" t="s">
        <v>16</v>
      </c>
      <c r="Q120" s="19"/>
      <c r="R120" s="17"/>
      <c r="U120" s="19"/>
      <c r="V120" s="17"/>
      <c r="Y120" s="19"/>
      <c r="Z120" s="17"/>
      <c r="AC120" s="19"/>
    </row>
    <row r="121" spans="2:29" x14ac:dyDescent="0.2">
      <c r="B121" s="5" t="s">
        <v>72</v>
      </c>
      <c r="C121" s="5" t="s">
        <v>15</v>
      </c>
      <c r="D121" s="5" t="s">
        <v>16</v>
      </c>
      <c r="E121" s="5" t="s">
        <v>20</v>
      </c>
      <c r="F121" s="5" t="s">
        <v>134</v>
      </c>
      <c r="G121" s="5" t="s">
        <v>18</v>
      </c>
      <c r="H121" s="6">
        <v>20.5947176258707</v>
      </c>
      <c r="I121" s="28"/>
      <c r="J121" s="28"/>
      <c r="N121" s="8">
        <v>0</v>
      </c>
      <c r="O121" s="9">
        <v>60</v>
      </c>
      <c r="P121" s="5" t="s">
        <v>16</v>
      </c>
      <c r="Q121" s="19"/>
      <c r="R121" s="17"/>
      <c r="U121" s="19"/>
      <c r="V121" s="17"/>
      <c r="Y121" s="19"/>
      <c r="Z121" s="17"/>
      <c r="AC121" s="19"/>
    </row>
    <row r="122" spans="2:29" x14ac:dyDescent="0.2">
      <c r="B122" s="5" t="s">
        <v>73</v>
      </c>
      <c r="C122" s="5" t="s">
        <v>15</v>
      </c>
      <c r="D122" s="5" t="s">
        <v>16</v>
      </c>
      <c r="E122" s="5" t="s">
        <v>20</v>
      </c>
      <c r="F122" s="5" t="s">
        <v>134</v>
      </c>
      <c r="G122" s="5" t="s">
        <v>19</v>
      </c>
      <c r="H122" s="6">
        <v>20.695118387852201</v>
      </c>
      <c r="I122" s="28"/>
      <c r="J122" s="28"/>
      <c r="N122" s="8">
        <v>0</v>
      </c>
      <c r="O122" s="9">
        <v>60</v>
      </c>
      <c r="P122" s="5" t="s">
        <v>16</v>
      </c>
      <c r="Q122" s="19"/>
      <c r="R122" s="17"/>
      <c r="U122" s="19"/>
      <c r="V122" s="17"/>
      <c r="Y122" s="19"/>
      <c r="Z122" s="17"/>
      <c r="AC122" s="19"/>
    </row>
    <row r="123" spans="2:29" x14ac:dyDescent="0.2">
      <c r="H123" s="28"/>
      <c r="I123" s="28"/>
      <c r="J123" s="28"/>
      <c r="Q123" s="19"/>
      <c r="R123" s="17"/>
      <c r="U123" s="19"/>
      <c r="V123" s="17"/>
      <c r="Y123" s="19"/>
      <c r="Z123" s="17"/>
      <c r="AC123" s="19"/>
    </row>
    <row r="124" spans="2:29" x14ac:dyDescent="0.2">
      <c r="B124" s="5" t="s">
        <v>74</v>
      </c>
      <c r="C124" s="5" t="s">
        <v>15</v>
      </c>
      <c r="D124" s="5" t="s">
        <v>16</v>
      </c>
      <c r="E124" s="5" t="s">
        <v>20</v>
      </c>
      <c r="F124" s="5" t="s">
        <v>135</v>
      </c>
      <c r="G124" s="5" t="s">
        <v>17</v>
      </c>
      <c r="H124" s="6">
        <v>20.6476347638608</v>
      </c>
      <c r="I124" s="28">
        <f>AVERAGE(H124:H126)</f>
        <v>20.644976822949534</v>
      </c>
      <c r="J124" s="28">
        <f>_xlfn.STDEV.S(H124:H126)</f>
        <v>4.6391325037676741E-2</v>
      </c>
      <c r="N124" s="8">
        <v>0</v>
      </c>
      <c r="O124" s="9">
        <v>60</v>
      </c>
      <c r="P124" s="5" t="s">
        <v>16</v>
      </c>
      <c r="Q124" s="19"/>
      <c r="R124" s="17"/>
      <c r="U124" s="19"/>
      <c r="V124" s="17"/>
      <c r="Y124" s="19"/>
      <c r="Z124" s="17"/>
      <c r="AC124" s="19"/>
    </row>
    <row r="125" spans="2:29" x14ac:dyDescent="0.2">
      <c r="B125" s="5" t="s">
        <v>75</v>
      </c>
      <c r="C125" s="5" t="s">
        <v>15</v>
      </c>
      <c r="D125" s="5" t="s">
        <v>16</v>
      </c>
      <c r="E125" s="5" t="s">
        <v>20</v>
      </c>
      <c r="F125" s="5" t="s">
        <v>135</v>
      </c>
      <c r="G125" s="5" t="s">
        <v>18</v>
      </c>
      <c r="H125" s="6">
        <v>20.689982035893799</v>
      </c>
      <c r="I125" s="28"/>
      <c r="J125" s="28"/>
      <c r="N125" s="8">
        <v>0</v>
      </c>
      <c r="O125" s="9">
        <v>60</v>
      </c>
      <c r="P125" s="5" t="s">
        <v>16</v>
      </c>
      <c r="Q125" s="19"/>
      <c r="R125" s="17"/>
      <c r="U125" s="19"/>
      <c r="V125" s="17"/>
      <c r="Y125" s="19"/>
      <c r="Z125" s="17"/>
      <c r="AC125" s="19"/>
    </row>
    <row r="126" spans="2:29" x14ac:dyDescent="0.2">
      <c r="B126" s="5" t="s">
        <v>76</v>
      </c>
      <c r="C126" s="5" t="s">
        <v>15</v>
      </c>
      <c r="D126" s="5" t="s">
        <v>16</v>
      </c>
      <c r="E126" s="5" t="s">
        <v>20</v>
      </c>
      <c r="F126" s="5" t="s">
        <v>135</v>
      </c>
      <c r="G126" s="5" t="s">
        <v>19</v>
      </c>
      <c r="H126" s="6">
        <v>20.597313669094</v>
      </c>
      <c r="I126" s="28"/>
      <c r="J126" s="28"/>
      <c r="N126" s="8">
        <v>0</v>
      </c>
      <c r="O126" s="9">
        <v>60</v>
      </c>
      <c r="P126" s="5" t="s">
        <v>16</v>
      </c>
      <c r="Q126" s="19"/>
      <c r="R126" s="17"/>
      <c r="U126" s="19"/>
      <c r="V126" s="17"/>
      <c r="Y126" s="19"/>
      <c r="Z126" s="17"/>
      <c r="AC126" s="19"/>
    </row>
    <row r="127" spans="2:29" x14ac:dyDescent="0.2">
      <c r="H127" s="28"/>
      <c r="I127" s="28"/>
      <c r="J127" s="28"/>
      <c r="Q127" s="19"/>
      <c r="R127" s="17"/>
      <c r="U127" s="19"/>
      <c r="V127" s="17"/>
      <c r="Y127" s="19"/>
      <c r="Z127" s="17"/>
      <c r="AC127" s="19"/>
    </row>
    <row r="128" spans="2:29" x14ac:dyDescent="0.2">
      <c r="B128" s="5" t="s">
        <v>313</v>
      </c>
      <c r="C128" s="5" t="s">
        <v>15</v>
      </c>
      <c r="D128" s="5" t="s">
        <v>16</v>
      </c>
      <c r="E128" s="5" t="s">
        <v>20</v>
      </c>
      <c r="F128" s="5" t="s">
        <v>136</v>
      </c>
      <c r="G128" s="5" t="s">
        <v>17</v>
      </c>
      <c r="H128" s="6">
        <v>20.471913845976399</v>
      </c>
      <c r="I128" s="28">
        <f>AVERAGE(H128:H130)</f>
        <v>20.560795797897534</v>
      </c>
      <c r="J128" s="28">
        <f>_xlfn.STDEV.S(H128:H130)</f>
        <v>9.4924471486023967E-2</v>
      </c>
      <c r="N128" s="8">
        <v>0</v>
      </c>
      <c r="O128" s="9">
        <v>60</v>
      </c>
      <c r="P128" s="5" t="s">
        <v>16</v>
      </c>
      <c r="Q128" s="19"/>
      <c r="R128" s="17"/>
      <c r="U128" s="19"/>
      <c r="V128" s="17"/>
      <c r="Y128" s="19"/>
      <c r="Z128" s="17"/>
      <c r="AC128" s="19"/>
    </row>
    <row r="129" spans="2:29" x14ac:dyDescent="0.2">
      <c r="B129" s="5" t="s">
        <v>314</v>
      </c>
      <c r="C129" s="5" t="s">
        <v>15</v>
      </c>
      <c r="D129" s="5" t="s">
        <v>16</v>
      </c>
      <c r="E129" s="5" t="s">
        <v>20</v>
      </c>
      <c r="F129" s="5" t="s">
        <v>136</v>
      </c>
      <c r="G129" s="5" t="s">
        <v>18</v>
      </c>
      <c r="H129" s="6">
        <v>20.549688108222298</v>
      </c>
      <c r="I129" s="28"/>
      <c r="J129" s="28"/>
      <c r="N129" s="8">
        <v>0</v>
      </c>
      <c r="O129" s="9">
        <v>60</v>
      </c>
      <c r="P129" s="5" t="s">
        <v>16</v>
      </c>
      <c r="Q129" s="19"/>
      <c r="R129" s="17"/>
      <c r="U129" s="19"/>
      <c r="V129" s="17"/>
      <c r="Y129" s="19"/>
      <c r="Z129" s="17"/>
      <c r="AC129" s="19"/>
    </row>
    <row r="130" spans="2:29" x14ac:dyDescent="0.2">
      <c r="B130" s="5" t="s">
        <v>315</v>
      </c>
      <c r="C130" s="5" t="s">
        <v>15</v>
      </c>
      <c r="D130" s="5" t="s">
        <v>16</v>
      </c>
      <c r="E130" s="5" t="s">
        <v>20</v>
      </c>
      <c r="F130" s="5" t="s">
        <v>136</v>
      </c>
      <c r="G130" s="5" t="s">
        <v>19</v>
      </c>
      <c r="H130" s="6">
        <v>20.6607854394939</v>
      </c>
      <c r="I130" s="28"/>
      <c r="J130" s="28"/>
      <c r="N130" s="8">
        <v>0</v>
      </c>
      <c r="O130" s="9">
        <v>60</v>
      </c>
      <c r="P130" s="5" t="s">
        <v>16</v>
      </c>
      <c r="Q130" s="19"/>
      <c r="R130" s="17"/>
      <c r="U130" s="19"/>
      <c r="V130" s="17"/>
      <c r="Y130" s="19"/>
      <c r="Z130" s="17"/>
      <c r="AC130" s="19"/>
    </row>
    <row r="131" spans="2:29" x14ac:dyDescent="0.2">
      <c r="H131" s="28"/>
      <c r="I131" s="28"/>
      <c r="J131" s="28"/>
      <c r="Q131" s="19"/>
      <c r="R131" s="17"/>
      <c r="U131" s="19"/>
      <c r="V131" s="17"/>
      <c r="Y131" s="19"/>
      <c r="Z131" s="17"/>
      <c r="AC131" s="19"/>
    </row>
    <row r="132" spans="2:29" x14ac:dyDescent="0.2">
      <c r="B132" s="5" t="s">
        <v>316</v>
      </c>
      <c r="C132" s="5" t="s">
        <v>15</v>
      </c>
      <c r="D132" s="5" t="s">
        <v>16</v>
      </c>
      <c r="E132" s="5" t="s">
        <v>20</v>
      </c>
      <c r="F132" s="5" t="s">
        <v>137</v>
      </c>
      <c r="G132" s="5" t="s">
        <v>17</v>
      </c>
      <c r="H132" s="6">
        <v>21.176807228592601</v>
      </c>
      <c r="I132" s="28">
        <f>AVERAGE(H132:H134)</f>
        <v>21.215977382931367</v>
      </c>
      <c r="J132" s="28">
        <f>_xlfn.STDEV.S(H132:H134)</f>
        <v>9.6007597271734316E-2</v>
      </c>
      <c r="N132" s="8">
        <v>0</v>
      </c>
      <c r="O132" s="9">
        <v>60</v>
      </c>
      <c r="P132" s="5" t="s">
        <v>16</v>
      </c>
      <c r="Q132" s="19"/>
      <c r="R132" s="17"/>
      <c r="U132" s="19"/>
      <c r="V132" s="17"/>
      <c r="Y132" s="19"/>
      <c r="Z132" s="17"/>
      <c r="AC132" s="19"/>
    </row>
    <row r="133" spans="2:29" x14ac:dyDescent="0.2">
      <c r="B133" s="5" t="s">
        <v>317</v>
      </c>
      <c r="C133" s="5" t="s">
        <v>15</v>
      </c>
      <c r="D133" s="5" t="s">
        <v>16</v>
      </c>
      <c r="E133" s="5" t="s">
        <v>20</v>
      </c>
      <c r="F133" s="5" t="s">
        <v>137</v>
      </c>
      <c r="G133" s="5" t="s">
        <v>18</v>
      </c>
      <c r="H133" s="6">
        <v>21.3253774532294</v>
      </c>
      <c r="I133" s="28"/>
      <c r="J133" s="28"/>
      <c r="N133" s="8">
        <v>0</v>
      </c>
      <c r="O133" s="9">
        <v>60</v>
      </c>
      <c r="P133" s="5" t="s">
        <v>16</v>
      </c>
      <c r="Q133" s="19"/>
      <c r="R133" s="17"/>
      <c r="U133" s="19"/>
      <c r="V133" s="17"/>
      <c r="Y133" s="19"/>
      <c r="Z133" s="17"/>
      <c r="AC133" s="19"/>
    </row>
    <row r="134" spans="2:29" x14ac:dyDescent="0.2">
      <c r="B134" s="5" t="s">
        <v>318</v>
      </c>
      <c r="C134" s="5" t="s">
        <v>15</v>
      </c>
      <c r="D134" s="5" t="s">
        <v>16</v>
      </c>
      <c r="E134" s="5" t="s">
        <v>20</v>
      </c>
      <c r="F134" s="5" t="s">
        <v>137</v>
      </c>
      <c r="G134" s="5" t="s">
        <v>19</v>
      </c>
      <c r="H134" s="6">
        <v>21.1457474669721</v>
      </c>
      <c r="I134" s="28"/>
      <c r="J134" s="28"/>
      <c r="N134" s="8">
        <v>0</v>
      </c>
      <c r="O134" s="9">
        <v>60</v>
      </c>
      <c r="P134" s="5" t="s">
        <v>16</v>
      </c>
      <c r="Q134" s="19"/>
      <c r="R134" s="17"/>
      <c r="U134" s="19"/>
      <c r="V134" s="17"/>
      <c r="Y134" s="19"/>
      <c r="Z134" s="17"/>
      <c r="AC134" s="19"/>
    </row>
    <row r="135" spans="2:29" x14ac:dyDescent="0.2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</sheetData>
  <conditionalFormatting sqref="R2:R30">
    <cfRule type="cellIs" dxfId="53" priority="8" operator="greaterThanOrEqual">
      <formula>1</formula>
    </cfRule>
    <cfRule type="cellIs" dxfId="52" priority="6" operator="between">
      <formula>0.0001</formula>
      <formula>0.9</formula>
    </cfRule>
    <cfRule type="cellIs" dxfId="51" priority="3" operator="between">
      <formula>0.9</formula>
      <formula>1</formula>
    </cfRule>
  </conditionalFormatting>
  <conditionalFormatting sqref="V2:V30">
    <cfRule type="cellIs" dxfId="50" priority="4" operator="between">
      <formula>0.0001</formula>
      <formula>0.9</formula>
    </cfRule>
    <cfRule type="cellIs" dxfId="49" priority="9" operator="greaterThanOrEqual">
      <formula>1</formula>
    </cfRule>
    <cfRule type="cellIs" dxfId="48" priority="1" operator="between">
      <formula>0.9</formula>
      <formula>1</formula>
    </cfRule>
  </conditionalFormatting>
  <conditionalFormatting sqref="Z2:Z30">
    <cfRule type="cellIs" dxfId="47" priority="2" operator="between">
      <formula>0.9</formula>
      <formula>1</formula>
    </cfRule>
    <cfRule type="cellIs" dxfId="46" priority="7" operator="greaterThanOrEqual">
      <formula>1</formula>
    </cfRule>
    <cfRule type="cellIs" dxfId="45" priority="5" operator="between">
      <formula>0.0001</formula>
      <formula>0.9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F347-7B49-3249-BB45-B1D97FCCDD5C}">
  <dimension ref="A1:AC135"/>
  <sheetViews>
    <sheetView workbookViewId="0">
      <selection activeCell="D28" sqref="D28"/>
    </sheetView>
  </sheetViews>
  <sheetFormatPr baseColWidth="10" defaultColWidth="6.6640625" defaultRowHeight="16" x14ac:dyDescent="0.2"/>
  <cols>
    <col min="1" max="1" width="1" style="4" customWidth="1"/>
    <col min="2" max="3" width="6.6640625" style="5"/>
    <col min="4" max="4" width="8.83203125" style="5" customWidth="1"/>
    <col min="5" max="5" width="8.33203125" style="5" bestFit="1" customWidth="1"/>
    <col min="6" max="6" width="16.33203125" style="5" bestFit="1" customWidth="1"/>
    <col min="7" max="7" width="20.1640625" style="5" bestFit="1" customWidth="1"/>
    <col min="8" max="8" width="10" style="6" customWidth="1"/>
    <col min="9" max="9" width="8.83203125" style="6" customWidth="1"/>
    <col min="10" max="10" width="10" style="7" customWidth="1"/>
    <col min="11" max="11" width="12.1640625" style="8" hidden="1" customWidth="1"/>
    <col min="12" max="12" width="12.1640625" style="7" hidden="1" customWidth="1"/>
    <col min="13" max="14" width="12.1640625" style="8" hidden="1" customWidth="1"/>
    <col min="15" max="15" width="6.6640625" style="9" hidden="1" customWidth="1"/>
    <col min="16" max="16" width="12.1640625" style="5" hidden="1" customWidth="1"/>
    <col min="17" max="17" width="3.5" style="10" customWidth="1"/>
    <col min="18" max="18" width="11.83203125" style="10" customWidth="1"/>
    <col min="19" max="19" width="14.83203125" style="10" customWidth="1"/>
    <col min="20" max="20" width="18.5" style="10" customWidth="1"/>
    <col min="21" max="21" width="3.5" style="10" customWidth="1"/>
    <col min="22" max="22" width="11.83203125" style="10" customWidth="1"/>
    <col min="23" max="23" width="15.33203125" style="10" customWidth="1"/>
    <col min="24" max="24" width="19.33203125" style="10" customWidth="1"/>
    <col min="25" max="25" width="3.5" style="10" customWidth="1"/>
    <col min="26" max="26" width="11.83203125" style="10" customWidth="1"/>
    <col min="27" max="27" width="15.5" style="10" customWidth="1"/>
    <col min="28" max="28" width="18.83203125" style="10" customWidth="1"/>
    <col min="29" max="29" width="3.5" style="10" customWidth="1"/>
    <col min="30" max="16384" width="6.6640625" style="10"/>
  </cols>
  <sheetData>
    <row r="1" spans="1:29" s="3" customFormat="1" ht="30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8"/>
      <c r="R1" s="15" t="s">
        <v>101</v>
      </c>
      <c r="S1" s="2" t="s">
        <v>102</v>
      </c>
      <c r="T1" s="2" t="s">
        <v>103</v>
      </c>
      <c r="U1" s="22"/>
      <c r="V1" s="15" t="s">
        <v>104</v>
      </c>
      <c r="W1" s="2" t="s">
        <v>105</v>
      </c>
      <c r="X1" s="2" t="s">
        <v>106</v>
      </c>
      <c r="Y1" s="22"/>
      <c r="Z1" s="15" t="s">
        <v>107</v>
      </c>
      <c r="AA1" s="2" t="s">
        <v>108</v>
      </c>
      <c r="AB1" s="2" t="s">
        <v>109</v>
      </c>
      <c r="AC1" s="18"/>
    </row>
    <row r="2" spans="1:29" ht="15" customHeight="1" x14ac:dyDescent="0.25">
      <c r="B2" s="5" t="s">
        <v>274</v>
      </c>
      <c r="C2" s="5" t="s">
        <v>15</v>
      </c>
      <c r="D2" s="5" t="s">
        <v>16</v>
      </c>
      <c r="E2" s="5" t="s">
        <v>20</v>
      </c>
      <c r="F2" s="5" t="s">
        <v>263</v>
      </c>
      <c r="G2" s="5" t="s">
        <v>17</v>
      </c>
      <c r="H2" s="6">
        <v>25.2379484632648</v>
      </c>
      <c r="I2" s="28">
        <f>AVERAGE(H2:H4)</f>
        <v>25.303987312487866</v>
      </c>
      <c r="J2" s="28">
        <f>_xlfn.STDEV.S(H2:H4)</f>
        <v>6.472893930414797E-2</v>
      </c>
      <c r="Q2" s="19"/>
      <c r="R2" s="31">
        <f>I2/I36</f>
        <v>1.004227037683654</v>
      </c>
      <c r="S2" s="32">
        <f>I2-I36</f>
        <v>0.10651068324479951</v>
      </c>
      <c r="T2" s="32">
        <f>POWER(2,S2)</f>
        <v>1.0766211582465113</v>
      </c>
      <c r="U2" s="33"/>
      <c r="V2" s="31">
        <f>I2/I70</f>
        <v>1.0720574600130843</v>
      </c>
      <c r="W2" s="32">
        <f>I2-I70</f>
        <v>1.7007866853693976</v>
      </c>
      <c r="X2" s="32">
        <f>POWER(2,W2)</f>
        <v>3.2507817169045894</v>
      </c>
      <c r="Y2" s="33"/>
      <c r="Z2" s="31">
        <f>I2/I104</f>
        <v>1.0544519100814027</v>
      </c>
      <c r="AA2" s="32">
        <f>I2-I104</f>
        <v>1.3066982274556018</v>
      </c>
      <c r="AB2" s="32">
        <f>POWER(2,AA2)</f>
        <v>2.4737474625989679</v>
      </c>
      <c r="AC2" s="19"/>
    </row>
    <row r="3" spans="1:29" ht="15" customHeight="1" x14ac:dyDescent="0.25">
      <c r="B3" s="5" t="s">
        <v>275</v>
      </c>
      <c r="C3" s="5" t="s">
        <v>15</v>
      </c>
      <c r="D3" s="5" t="s">
        <v>16</v>
      </c>
      <c r="E3" s="5" t="s">
        <v>20</v>
      </c>
      <c r="F3" s="5" t="s">
        <v>263</v>
      </c>
      <c r="G3" s="5" t="s">
        <v>18</v>
      </c>
      <c r="H3" s="6">
        <v>25.306691915998002</v>
      </c>
      <c r="I3" s="28"/>
      <c r="J3" s="28"/>
      <c r="Q3" s="19"/>
      <c r="R3" s="31"/>
      <c r="S3" s="32"/>
      <c r="T3" s="32"/>
      <c r="U3" s="33"/>
      <c r="V3" s="31"/>
      <c r="W3" s="32"/>
      <c r="X3" s="32"/>
      <c r="Y3" s="33"/>
      <c r="Z3" s="31"/>
      <c r="AA3" s="32"/>
      <c r="AB3" s="32"/>
      <c r="AC3" s="19"/>
    </row>
    <row r="4" spans="1:29" ht="15" customHeight="1" x14ac:dyDescent="0.25">
      <c r="B4" s="5" t="s">
        <v>276</v>
      </c>
      <c r="C4" s="5" t="s">
        <v>15</v>
      </c>
      <c r="D4" s="5" t="s">
        <v>16</v>
      </c>
      <c r="E4" s="5" t="s">
        <v>20</v>
      </c>
      <c r="F4" s="5" t="s">
        <v>263</v>
      </c>
      <c r="G4" s="5" t="s">
        <v>19</v>
      </c>
      <c r="H4" s="6">
        <v>25.3673215582008</v>
      </c>
      <c r="I4" s="28"/>
      <c r="J4" s="28"/>
      <c r="Q4" s="19"/>
      <c r="R4" s="31"/>
      <c r="S4" s="32"/>
      <c r="T4" s="32"/>
      <c r="U4" s="33"/>
      <c r="V4" s="31"/>
      <c r="W4" s="32"/>
      <c r="X4" s="32"/>
      <c r="Y4" s="33"/>
      <c r="Z4" s="31"/>
      <c r="AA4" s="32"/>
      <c r="AB4" s="32"/>
      <c r="AC4" s="19"/>
    </row>
    <row r="5" spans="1:29" ht="15" customHeight="1" x14ac:dyDescent="0.25">
      <c r="H5" s="28"/>
      <c r="I5" s="28"/>
      <c r="J5" s="28"/>
      <c r="Q5" s="19"/>
      <c r="R5" s="31"/>
      <c r="S5" s="32"/>
      <c r="T5" s="32"/>
      <c r="U5" s="33"/>
      <c r="V5" s="31"/>
      <c r="W5" s="32"/>
      <c r="X5" s="32"/>
      <c r="Y5" s="33"/>
      <c r="Z5" s="31"/>
      <c r="AA5" s="32"/>
      <c r="AB5" s="32"/>
      <c r="AC5" s="19"/>
    </row>
    <row r="6" spans="1:29" ht="15" customHeight="1" x14ac:dyDescent="0.25">
      <c r="B6" s="5" t="s">
        <v>280</v>
      </c>
      <c r="C6" s="5" t="s">
        <v>15</v>
      </c>
      <c r="D6" s="5" t="s">
        <v>16</v>
      </c>
      <c r="E6" s="5" t="s">
        <v>20</v>
      </c>
      <c r="F6" s="5" t="s">
        <v>138</v>
      </c>
      <c r="G6" s="5" t="s">
        <v>17</v>
      </c>
      <c r="H6" s="6">
        <v>25.7388157977867</v>
      </c>
      <c r="I6" s="28">
        <f>AVERAGE(H6:H8)</f>
        <v>25.927794813631465</v>
      </c>
      <c r="J6" s="28">
        <f>_xlfn.STDEV.S(H6:H8)</f>
        <v>0.19152163912996759</v>
      </c>
      <c r="Q6" s="19"/>
      <c r="R6" s="31">
        <f>I6/I40</f>
        <v>0.99987915707290942</v>
      </c>
      <c r="S6" s="32">
        <f>I6-I40</f>
        <v>-3.13356928796793E-3</v>
      </c>
      <c r="T6" s="32">
        <f t="shared" ref="T6:T30" si="0">POWER(2,S6)</f>
        <v>0.99783033242174468</v>
      </c>
      <c r="U6" s="33"/>
      <c r="V6" s="31">
        <f>I6/I74</f>
        <v>1.0682147266957391</v>
      </c>
      <c r="W6" s="32">
        <f>I6-I74</f>
        <v>1.6557133999696667</v>
      </c>
      <c r="X6" s="32">
        <f>POWER(2,W6)</f>
        <v>3.1507895587616055</v>
      </c>
      <c r="Y6" s="33"/>
      <c r="Z6" s="31">
        <f>I6/I108</f>
        <v>1.0495890922670508</v>
      </c>
      <c r="AA6" s="32">
        <f>I6-I108</f>
        <v>1.2249896828836313</v>
      </c>
      <c r="AB6" s="32">
        <f t="shared" ref="AB6" si="1">POWER(2,AA6)</f>
        <v>2.3375377806752526</v>
      </c>
      <c r="AC6" s="19"/>
    </row>
    <row r="7" spans="1:29" ht="15" customHeight="1" x14ac:dyDescent="0.25">
      <c r="B7" s="5" t="s">
        <v>281</v>
      </c>
      <c r="C7" s="5" t="s">
        <v>15</v>
      </c>
      <c r="D7" s="5" t="s">
        <v>16</v>
      </c>
      <c r="E7" s="5" t="s">
        <v>20</v>
      </c>
      <c r="F7" s="5" t="s">
        <v>138</v>
      </c>
      <c r="G7" s="5" t="s">
        <v>18</v>
      </c>
      <c r="H7" s="6">
        <v>25.922807002868701</v>
      </c>
      <c r="I7" s="28"/>
      <c r="J7" s="28"/>
      <c r="Q7" s="19"/>
      <c r="R7" s="31"/>
      <c r="S7" s="32"/>
      <c r="T7" s="32"/>
      <c r="U7" s="33"/>
      <c r="V7" s="31"/>
      <c r="W7" s="32"/>
      <c r="X7" s="32"/>
      <c r="Y7" s="33"/>
      <c r="Z7" s="31"/>
      <c r="AA7" s="32"/>
      <c r="AB7" s="32"/>
      <c r="AC7" s="19"/>
    </row>
    <row r="8" spans="1:29" ht="15" customHeight="1" x14ac:dyDescent="0.25">
      <c r="B8" s="5" t="s">
        <v>282</v>
      </c>
      <c r="C8" s="5" t="s">
        <v>15</v>
      </c>
      <c r="D8" s="5" t="s">
        <v>16</v>
      </c>
      <c r="E8" s="5" t="s">
        <v>20</v>
      </c>
      <c r="F8" s="5" t="s">
        <v>138</v>
      </c>
      <c r="G8" s="5" t="s">
        <v>19</v>
      </c>
      <c r="H8" s="6">
        <v>26.121761640239001</v>
      </c>
      <c r="I8" s="28"/>
      <c r="J8" s="28"/>
      <c r="Q8" s="19"/>
      <c r="R8" s="31"/>
      <c r="S8" s="32"/>
      <c r="T8" s="32"/>
      <c r="U8" s="33"/>
      <c r="V8" s="31"/>
      <c r="W8" s="32"/>
      <c r="X8" s="32"/>
      <c r="Y8" s="33"/>
      <c r="Z8" s="31"/>
      <c r="AA8" s="32"/>
      <c r="AB8" s="32"/>
      <c r="AC8" s="19"/>
    </row>
    <row r="9" spans="1:29" ht="15" customHeight="1" x14ac:dyDescent="0.25">
      <c r="H9" s="28"/>
      <c r="I9" s="28"/>
      <c r="J9" s="28"/>
      <c r="Q9" s="19"/>
      <c r="R9" s="31"/>
      <c r="S9" s="32"/>
      <c r="T9" s="32"/>
      <c r="U9" s="33"/>
      <c r="V9" s="31"/>
      <c r="W9" s="32"/>
      <c r="X9" s="32"/>
      <c r="Y9" s="33"/>
      <c r="Z9" s="31"/>
      <c r="AA9" s="32"/>
      <c r="AB9" s="32"/>
      <c r="AC9" s="19"/>
    </row>
    <row r="10" spans="1:29" ht="15" customHeight="1" x14ac:dyDescent="0.25">
      <c r="B10" s="5" t="s">
        <v>283</v>
      </c>
      <c r="C10" s="5" t="s">
        <v>15</v>
      </c>
      <c r="D10" s="5" t="s">
        <v>16</v>
      </c>
      <c r="E10" s="5" t="s">
        <v>20</v>
      </c>
      <c r="F10" s="5" t="s">
        <v>139</v>
      </c>
      <c r="G10" s="5" t="s">
        <v>17</v>
      </c>
      <c r="H10" s="6">
        <v>25.1855501854815</v>
      </c>
      <c r="I10" s="28">
        <f>AVERAGE(H10:H12)</f>
        <v>25.271691733402236</v>
      </c>
      <c r="J10" s="28">
        <f>_xlfn.STDEV.S(H10:H12)</f>
        <v>8.0771855403441228E-2</v>
      </c>
      <c r="Q10" s="19"/>
      <c r="R10" s="31">
        <f>I10/I44</f>
        <v>1.0045502339057863</v>
      </c>
      <c r="S10" s="32">
        <f>I10-I44</f>
        <v>0.11447123767500145</v>
      </c>
      <c r="T10" s="32">
        <f t="shared" si="0"/>
        <v>1.0825781969466595</v>
      </c>
      <c r="U10" s="33"/>
      <c r="V10" s="31">
        <f>I10/I78</f>
        <v>1.0744640259290421</v>
      </c>
      <c r="W10" s="32">
        <f>I10-I78</f>
        <v>1.7514145314262031</v>
      </c>
      <c r="X10" s="32">
        <f t="shared" ref="X10" si="2">POWER(2,W10)</f>
        <v>3.3668852016370399</v>
      </c>
      <c r="Y10" s="33"/>
      <c r="Z10" s="31">
        <f>I10/I112</f>
        <v>1.0542600208742736</v>
      </c>
      <c r="AA10" s="32">
        <f>I10-I112</f>
        <v>1.3006682353803676</v>
      </c>
      <c r="AB10" s="32">
        <f t="shared" ref="AB10" si="3">POWER(2,AA10)</f>
        <v>2.463429587268402</v>
      </c>
      <c r="AC10" s="19"/>
    </row>
    <row r="11" spans="1:29" ht="15" customHeight="1" x14ac:dyDescent="0.25">
      <c r="B11" s="5" t="s">
        <v>284</v>
      </c>
      <c r="C11" s="5" t="s">
        <v>15</v>
      </c>
      <c r="D11" s="5" t="s">
        <v>16</v>
      </c>
      <c r="E11" s="5" t="s">
        <v>20</v>
      </c>
      <c r="F11" s="5" t="s">
        <v>139</v>
      </c>
      <c r="G11" s="5" t="s">
        <v>18</v>
      </c>
      <c r="H11" s="6">
        <v>25.283797722256299</v>
      </c>
      <c r="I11" s="28"/>
      <c r="J11" s="28"/>
      <c r="N11" s="8">
        <v>0</v>
      </c>
      <c r="O11" s="9">
        <v>60</v>
      </c>
      <c r="P11" s="5" t="s">
        <v>16</v>
      </c>
      <c r="Q11" s="19"/>
      <c r="R11" s="31"/>
      <c r="S11" s="32"/>
      <c r="T11" s="32"/>
      <c r="U11" s="33"/>
      <c r="V11" s="31"/>
      <c r="W11" s="32"/>
      <c r="X11" s="32"/>
      <c r="Y11" s="33"/>
      <c r="Z11" s="31"/>
      <c r="AA11" s="32"/>
      <c r="AB11" s="32"/>
      <c r="AC11" s="19"/>
    </row>
    <row r="12" spans="1:29" ht="15" customHeight="1" x14ac:dyDescent="0.25">
      <c r="B12" s="5" t="s">
        <v>285</v>
      </c>
      <c r="C12" s="5" t="s">
        <v>15</v>
      </c>
      <c r="D12" s="5" t="s">
        <v>16</v>
      </c>
      <c r="E12" s="5" t="s">
        <v>20</v>
      </c>
      <c r="F12" s="5" t="s">
        <v>139</v>
      </c>
      <c r="G12" s="5" t="s">
        <v>19</v>
      </c>
      <c r="H12" s="6">
        <v>25.345727292468901</v>
      </c>
      <c r="I12" s="28"/>
      <c r="J12" s="28"/>
      <c r="N12" s="8">
        <v>0</v>
      </c>
      <c r="O12" s="9">
        <v>60</v>
      </c>
      <c r="P12" s="5" t="s">
        <v>16</v>
      </c>
      <c r="Q12" s="19"/>
      <c r="R12" s="31"/>
      <c r="S12" s="32"/>
      <c r="T12" s="32"/>
      <c r="U12" s="33"/>
      <c r="V12" s="31"/>
      <c r="W12" s="32"/>
      <c r="X12" s="32"/>
      <c r="Y12" s="33"/>
      <c r="Z12" s="31"/>
      <c r="AA12" s="32"/>
      <c r="AB12" s="32"/>
      <c r="AC12" s="19"/>
    </row>
    <row r="13" spans="1:29" ht="15" customHeight="1" x14ac:dyDescent="0.25">
      <c r="H13" s="28"/>
      <c r="I13" s="28"/>
      <c r="J13" s="28"/>
      <c r="N13" s="8">
        <v>0</v>
      </c>
      <c r="O13" s="9">
        <v>60</v>
      </c>
      <c r="P13" s="5" t="s">
        <v>16</v>
      </c>
      <c r="Q13" s="19"/>
      <c r="R13" s="31"/>
      <c r="S13" s="32"/>
      <c r="T13" s="32"/>
      <c r="U13" s="33"/>
      <c r="V13" s="31"/>
      <c r="W13" s="32"/>
      <c r="X13" s="32"/>
      <c r="Y13" s="33"/>
      <c r="Z13" s="31"/>
      <c r="AA13" s="32"/>
      <c r="AB13" s="32"/>
      <c r="AC13" s="19"/>
    </row>
    <row r="14" spans="1:29" ht="15" customHeight="1" x14ac:dyDescent="0.25">
      <c r="B14" s="5" t="s">
        <v>286</v>
      </c>
      <c r="C14" s="5" t="s">
        <v>15</v>
      </c>
      <c r="D14" s="5" t="s">
        <v>16</v>
      </c>
      <c r="E14" s="5" t="s">
        <v>20</v>
      </c>
      <c r="F14" s="5" t="s">
        <v>140</v>
      </c>
      <c r="G14" s="5" t="s">
        <v>17</v>
      </c>
      <c r="H14" s="6">
        <v>25.025345093212898</v>
      </c>
      <c r="I14" s="28">
        <f>AVERAGE(H14:H16)</f>
        <v>25.019358715407133</v>
      </c>
      <c r="J14" s="28">
        <f>_xlfn.STDEV.S(H14:H16)</f>
        <v>0.2316425861439983</v>
      </c>
      <c r="N14" s="8">
        <v>0</v>
      </c>
      <c r="O14" s="9">
        <v>60</v>
      </c>
      <c r="P14" s="5" t="s">
        <v>16</v>
      </c>
      <c r="Q14" s="19"/>
      <c r="R14" s="31">
        <f>I14/I48</f>
        <v>1.004075945141591</v>
      </c>
      <c r="S14" s="32">
        <f>I14-I48</f>
        <v>0.10156356607806671</v>
      </c>
      <c r="T14" s="32">
        <f t="shared" si="0"/>
        <v>1.0729356603704225</v>
      </c>
      <c r="U14" s="33"/>
      <c r="V14" s="31">
        <f>I14/I82</f>
        <v>1.0602085213381374</v>
      </c>
      <c r="W14" s="32">
        <f>I14-I82</f>
        <v>1.4208323766176036</v>
      </c>
      <c r="X14" s="32">
        <f t="shared" ref="X14" si="4">POWER(2,W14)</f>
        <v>2.6773994150714793</v>
      </c>
      <c r="Y14" s="33"/>
      <c r="Z14" s="31">
        <f>I14/I116</f>
        <v>1.0507176647465026</v>
      </c>
      <c r="AA14" s="32">
        <f>I14-I116</f>
        <v>1.2076730886661657</v>
      </c>
      <c r="AB14" s="32">
        <f t="shared" ref="AB14" si="5">POWER(2,AA14)</f>
        <v>2.3096481489189693</v>
      </c>
      <c r="AC14" s="19"/>
    </row>
    <row r="15" spans="1:29" ht="15" customHeight="1" x14ac:dyDescent="0.25">
      <c r="B15" s="5" t="s">
        <v>287</v>
      </c>
      <c r="C15" s="5" t="s">
        <v>15</v>
      </c>
      <c r="D15" s="5" t="s">
        <v>16</v>
      </c>
      <c r="E15" s="5" t="s">
        <v>20</v>
      </c>
      <c r="F15" s="5" t="s">
        <v>140</v>
      </c>
      <c r="G15" s="5" t="s">
        <v>18</v>
      </c>
      <c r="H15" s="6">
        <v>24.784780962735301</v>
      </c>
      <c r="I15" s="28"/>
      <c r="J15" s="28"/>
      <c r="N15" s="8">
        <v>0</v>
      </c>
      <c r="O15" s="9">
        <v>60</v>
      </c>
      <c r="P15" s="5" t="s">
        <v>16</v>
      </c>
      <c r="Q15" s="19"/>
      <c r="R15" s="31"/>
      <c r="S15" s="32"/>
      <c r="T15" s="32"/>
      <c r="U15" s="33"/>
      <c r="V15" s="31"/>
      <c r="W15" s="32"/>
      <c r="X15" s="32"/>
      <c r="Y15" s="33"/>
      <c r="Z15" s="31"/>
      <c r="AA15" s="32"/>
      <c r="AB15" s="32"/>
      <c r="AC15" s="19"/>
    </row>
    <row r="16" spans="1:29" ht="15" customHeight="1" x14ac:dyDescent="0.25">
      <c r="B16" s="5" t="s">
        <v>288</v>
      </c>
      <c r="C16" s="5" t="s">
        <v>15</v>
      </c>
      <c r="D16" s="5" t="s">
        <v>16</v>
      </c>
      <c r="E16" s="5" t="s">
        <v>20</v>
      </c>
      <c r="F16" s="5" t="s">
        <v>140</v>
      </c>
      <c r="G16" s="5" t="s">
        <v>19</v>
      </c>
      <c r="H16" s="6">
        <v>25.2479500902732</v>
      </c>
      <c r="I16" s="28"/>
      <c r="J16" s="28"/>
      <c r="N16" s="8">
        <v>0</v>
      </c>
      <c r="O16" s="9">
        <v>60</v>
      </c>
      <c r="P16" s="5" t="s">
        <v>16</v>
      </c>
      <c r="Q16" s="19"/>
      <c r="R16" s="31"/>
      <c r="S16" s="32"/>
      <c r="T16" s="32"/>
      <c r="U16" s="33"/>
      <c r="V16" s="31"/>
      <c r="W16" s="32"/>
      <c r="X16" s="32"/>
      <c r="Y16" s="33"/>
      <c r="Z16" s="31"/>
      <c r="AA16" s="32"/>
      <c r="AB16" s="32"/>
      <c r="AC16" s="19"/>
    </row>
    <row r="17" spans="2:29" ht="15" customHeight="1" x14ac:dyDescent="0.25">
      <c r="H17" s="28"/>
      <c r="I17" s="28"/>
      <c r="J17" s="28"/>
      <c r="N17" s="8">
        <v>0</v>
      </c>
      <c r="O17" s="9">
        <v>60</v>
      </c>
      <c r="P17" s="5" t="s">
        <v>16</v>
      </c>
      <c r="Q17" s="19"/>
      <c r="R17" s="31"/>
      <c r="S17" s="32"/>
      <c r="T17" s="32"/>
      <c r="U17" s="33"/>
      <c r="V17" s="31"/>
      <c r="W17" s="32"/>
      <c r="X17" s="32"/>
      <c r="Y17" s="33"/>
      <c r="Z17" s="31"/>
      <c r="AA17" s="32"/>
      <c r="AB17" s="32"/>
      <c r="AC17" s="19"/>
    </row>
    <row r="18" spans="2:29" ht="15" customHeight="1" x14ac:dyDescent="0.25">
      <c r="B18" s="5" t="s">
        <v>289</v>
      </c>
      <c r="C18" s="5" t="s">
        <v>15</v>
      </c>
      <c r="D18" s="5" t="s">
        <v>16</v>
      </c>
      <c r="E18" s="5" t="s">
        <v>20</v>
      </c>
      <c r="F18" s="5" t="s">
        <v>141</v>
      </c>
      <c r="G18" s="5" t="s">
        <v>17</v>
      </c>
      <c r="H18" s="6">
        <v>22.751566910690201</v>
      </c>
      <c r="I18" s="28">
        <f>AVERAGE(H18:H20)</f>
        <v>22.704838802573665</v>
      </c>
      <c r="J18" s="28">
        <f>_xlfn.STDEV.S(H18:H20)</f>
        <v>4.345518982003807E-2</v>
      </c>
      <c r="Q18" s="19"/>
      <c r="R18" s="31">
        <f>I18/I52</f>
        <v>1.0053807853424275</v>
      </c>
      <c r="S18" s="32">
        <f>I18-I52</f>
        <v>0.12151601225346553</v>
      </c>
      <c r="T18" s="32">
        <f t="shared" si="0"/>
        <v>1.0878774250488723</v>
      </c>
      <c r="U18" s="33"/>
      <c r="V18" s="31">
        <f>I18/I86</f>
        <v>1.0683212801879234</v>
      </c>
      <c r="W18" s="32">
        <f>I18-I86</f>
        <v>1.4520198017392296</v>
      </c>
      <c r="X18" s="32">
        <f t="shared" ref="X18" si="6">POWER(2,W18)</f>
        <v>2.7359081593086589</v>
      </c>
      <c r="Y18" s="33"/>
      <c r="Z18" s="31">
        <f>I18/I120</f>
        <v>1.0512713952276129</v>
      </c>
      <c r="AA18" s="32">
        <f>I18-I120</f>
        <v>1.1073341946814317</v>
      </c>
      <c r="AB18" s="32">
        <f t="shared" ref="AB18" si="7">POWER(2,AA18)</f>
        <v>2.1544717695717233</v>
      </c>
      <c r="AC18" s="19"/>
    </row>
    <row r="19" spans="2:29" ht="15" customHeight="1" x14ac:dyDescent="0.25">
      <c r="B19" s="5" t="s">
        <v>290</v>
      </c>
      <c r="C19" s="5" t="s">
        <v>15</v>
      </c>
      <c r="D19" s="5" t="s">
        <v>16</v>
      </c>
      <c r="E19" s="5" t="s">
        <v>20</v>
      </c>
      <c r="F19" s="5" t="s">
        <v>141</v>
      </c>
      <c r="G19" s="5" t="s">
        <v>18</v>
      </c>
      <c r="H19" s="6">
        <v>22.665640720089801</v>
      </c>
      <c r="I19" s="28"/>
      <c r="J19" s="28"/>
      <c r="Q19" s="19"/>
      <c r="R19" s="31"/>
      <c r="S19" s="32"/>
      <c r="T19" s="32"/>
      <c r="U19" s="33"/>
      <c r="V19" s="31"/>
      <c r="W19" s="32"/>
      <c r="X19" s="32"/>
      <c r="Y19" s="33"/>
      <c r="Z19" s="31"/>
      <c r="AA19" s="32"/>
      <c r="AB19" s="32"/>
      <c r="AC19" s="19"/>
    </row>
    <row r="20" spans="2:29" ht="15" customHeight="1" x14ac:dyDescent="0.25">
      <c r="B20" s="5" t="s">
        <v>291</v>
      </c>
      <c r="C20" s="5" t="s">
        <v>15</v>
      </c>
      <c r="D20" s="5" t="s">
        <v>16</v>
      </c>
      <c r="E20" s="5" t="s">
        <v>20</v>
      </c>
      <c r="F20" s="5" t="s">
        <v>141</v>
      </c>
      <c r="G20" s="5" t="s">
        <v>19</v>
      </c>
      <c r="H20" s="6">
        <v>22.697308776941</v>
      </c>
      <c r="I20" s="28"/>
      <c r="J20" s="28"/>
      <c r="Q20" s="19"/>
      <c r="R20" s="31"/>
      <c r="S20" s="32"/>
      <c r="T20" s="32"/>
      <c r="U20" s="33"/>
      <c r="V20" s="31"/>
      <c r="W20" s="32"/>
      <c r="X20" s="32"/>
      <c r="Y20" s="33"/>
      <c r="Z20" s="31"/>
      <c r="AA20" s="32"/>
      <c r="AB20" s="32"/>
      <c r="AC20" s="19"/>
    </row>
    <row r="21" spans="2:29" ht="15" customHeight="1" x14ac:dyDescent="0.25">
      <c r="H21" s="28"/>
      <c r="I21" s="28"/>
      <c r="J21" s="28"/>
      <c r="N21" s="8">
        <v>0</v>
      </c>
      <c r="O21" s="9">
        <v>60</v>
      </c>
      <c r="P21" s="5" t="s">
        <v>16</v>
      </c>
      <c r="Q21" s="19"/>
      <c r="R21" s="31"/>
      <c r="S21" s="32"/>
      <c r="T21" s="32"/>
      <c r="U21" s="33"/>
      <c r="V21" s="31"/>
      <c r="W21" s="32"/>
      <c r="X21" s="32"/>
      <c r="Y21" s="33"/>
      <c r="Z21" s="31"/>
      <c r="AA21" s="32"/>
      <c r="AB21" s="32"/>
      <c r="AC21" s="19"/>
    </row>
    <row r="22" spans="2:29" ht="15" customHeight="1" x14ac:dyDescent="0.25">
      <c r="B22" s="5" t="s">
        <v>292</v>
      </c>
      <c r="C22" s="5" t="s">
        <v>15</v>
      </c>
      <c r="D22" s="5" t="s">
        <v>16</v>
      </c>
      <c r="E22" s="5" t="s">
        <v>20</v>
      </c>
      <c r="F22" s="5" t="s">
        <v>142</v>
      </c>
      <c r="G22" s="5" t="s">
        <v>17</v>
      </c>
      <c r="H22" s="6">
        <v>25.3004124016446</v>
      </c>
      <c r="I22" s="28">
        <f>AVERAGE(H22:H24)</f>
        <v>25.268768295470664</v>
      </c>
      <c r="J22" s="28">
        <f>_xlfn.STDEV.S(H22:H24)</f>
        <v>9.9829421276773522E-2</v>
      </c>
      <c r="Q22" s="19"/>
      <c r="R22" s="31">
        <f>I22/I56</f>
        <v>1.001646166561529</v>
      </c>
      <c r="S22" s="32">
        <f>I22-I56</f>
        <v>4.1528239020596658E-2</v>
      </c>
      <c r="T22" s="32">
        <f t="shared" si="0"/>
        <v>1.0292034790778408</v>
      </c>
      <c r="U22" s="33"/>
      <c r="V22" s="31">
        <f>I22/I90</f>
        <v>1.0724595042709564</v>
      </c>
      <c r="W22" s="32">
        <f>I22-I90</f>
        <v>1.7072555345314662</v>
      </c>
      <c r="X22" s="32">
        <f t="shared" ref="X22" si="8">POWER(2,W22)</f>
        <v>3.2653905092786428</v>
      </c>
      <c r="Y22" s="33"/>
      <c r="Z22" s="31">
        <f>I22/I124</f>
        <v>1.0497463710421922</v>
      </c>
      <c r="AA22" s="32">
        <f>I22-I124</f>
        <v>1.1974602228514328</v>
      </c>
      <c r="AB22" s="32">
        <f t="shared" ref="AB22" si="9">POWER(2,AA22)</f>
        <v>2.2933558402744687</v>
      </c>
      <c r="AC22" s="19"/>
    </row>
    <row r="23" spans="2:29" ht="15" customHeight="1" x14ac:dyDescent="0.25">
      <c r="B23" s="5" t="s">
        <v>293</v>
      </c>
      <c r="C23" s="5" t="s">
        <v>15</v>
      </c>
      <c r="D23" s="5" t="s">
        <v>16</v>
      </c>
      <c r="E23" s="5" t="s">
        <v>20</v>
      </c>
      <c r="F23" s="5" t="s">
        <v>142</v>
      </c>
      <c r="G23" s="5" t="s">
        <v>18</v>
      </c>
      <c r="H23" s="6">
        <v>25.156951965154299</v>
      </c>
      <c r="I23" s="28"/>
      <c r="J23" s="28"/>
      <c r="Q23" s="19"/>
      <c r="R23" s="31"/>
      <c r="S23" s="32"/>
      <c r="T23" s="32"/>
      <c r="U23" s="33"/>
      <c r="V23" s="31"/>
      <c r="W23" s="32"/>
      <c r="X23" s="32"/>
      <c r="Y23" s="33"/>
      <c r="Z23" s="31"/>
      <c r="AA23" s="32"/>
      <c r="AB23" s="32"/>
      <c r="AC23" s="19"/>
    </row>
    <row r="24" spans="2:29" ht="15" customHeight="1" x14ac:dyDescent="0.25">
      <c r="B24" s="5" t="s">
        <v>294</v>
      </c>
      <c r="C24" s="5" t="s">
        <v>15</v>
      </c>
      <c r="D24" s="5" t="s">
        <v>16</v>
      </c>
      <c r="E24" s="5" t="s">
        <v>20</v>
      </c>
      <c r="F24" s="5" t="s">
        <v>142</v>
      </c>
      <c r="G24" s="5" t="s">
        <v>19</v>
      </c>
      <c r="H24" s="6">
        <v>25.348940519613102</v>
      </c>
      <c r="I24" s="28"/>
      <c r="J24" s="28"/>
      <c r="Q24" s="19"/>
      <c r="R24" s="31"/>
      <c r="S24" s="32"/>
      <c r="T24" s="32"/>
      <c r="U24" s="33"/>
      <c r="V24" s="31"/>
      <c r="W24" s="32"/>
      <c r="X24" s="32"/>
      <c r="Y24" s="33"/>
      <c r="Z24" s="31"/>
      <c r="AA24" s="32"/>
      <c r="AB24" s="32"/>
      <c r="AC24" s="19"/>
    </row>
    <row r="25" spans="2:29" ht="15" customHeight="1" x14ac:dyDescent="0.25">
      <c r="H25" s="28"/>
      <c r="I25" s="28"/>
      <c r="J25" s="28"/>
      <c r="Q25" s="19"/>
      <c r="R25" s="31"/>
      <c r="S25" s="32"/>
      <c r="T25" s="32"/>
      <c r="U25" s="33"/>
      <c r="V25" s="31"/>
      <c r="W25" s="32"/>
      <c r="X25" s="32"/>
      <c r="Y25" s="33"/>
      <c r="Z25" s="31"/>
      <c r="AA25" s="32"/>
      <c r="AB25" s="32"/>
      <c r="AC25" s="19"/>
    </row>
    <row r="26" spans="2:29" ht="15" customHeight="1" x14ac:dyDescent="0.25">
      <c r="B26" s="5" t="s">
        <v>295</v>
      </c>
      <c r="C26" s="5" t="s">
        <v>15</v>
      </c>
      <c r="D26" s="5" t="s">
        <v>16</v>
      </c>
      <c r="E26" s="5" t="s">
        <v>20</v>
      </c>
      <c r="F26" s="5" t="s">
        <v>143</v>
      </c>
      <c r="G26" s="5" t="s">
        <v>17</v>
      </c>
      <c r="H26" s="6">
        <v>25.280048036094701</v>
      </c>
      <c r="I26" s="28">
        <f>AVERAGE(H26:H28)</f>
        <v>25.406202999085366</v>
      </c>
      <c r="J26" s="28">
        <f>_xlfn.STDEV.S(H26:H28)</f>
        <v>0.12442075607931205</v>
      </c>
      <c r="N26" s="8">
        <v>0</v>
      </c>
      <c r="O26" s="9">
        <v>60</v>
      </c>
      <c r="P26" s="5" t="s">
        <v>16</v>
      </c>
      <c r="Q26" s="19"/>
      <c r="R26" s="31">
        <f>I26/I60</f>
        <v>1.012060885781217</v>
      </c>
      <c r="S26" s="32">
        <f>I26-I60</f>
        <v>0.30276964243100224</v>
      </c>
      <c r="T26" s="32">
        <f t="shared" si="0"/>
        <v>1.2335101974149201</v>
      </c>
      <c r="U26" s="33"/>
      <c r="V26" s="31">
        <f>I26/I94</f>
        <v>1.0820317434155589</v>
      </c>
      <c r="W26" s="32">
        <f>I26-I94</f>
        <v>1.926112739544795</v>
      </c>
      <c r="X26" s="32">
        <f t="shared" ref="X26" si="10">POWER(2,W26)</f>
        <v>3.8002984945931035</v>
      </c>
      <c r="Y26" s="33"/>
      <c r="Z26" s="31">
        <f>I26/I128</f>
        <v>1.0554417566983214</v>
      </c>
      <c r="AA26" s="32">
        <f>I26-I128</f>
        <v>1.3345734299065306</v>
      </c>
      <c r="AB26" s="32">
        <f>POWER(2,AA26)</f>
        <v>2.5220090102323325</v>
      </c>
      <c r="AC26" s="19"/>
    </row>
    <row r="27" spans="2:29" ht="15" customHeight="1" x14ac:dyDescent="0.25">
      <c r="B27" s="5" t="s">
        <v>296</v>
      </c>
      <c r="C27" s="5" t="s">
        <v>15</v>
      </c>
      <c r="D27" s="5" t="s">
        <v>16</v>
      </c>
      <c r="E27" s="5" t="s">
        <v>20</v>
      </c>
      <c r="F27" s="5" t="s">
        <v>143</v>
      </c>
      <c r="G27" s="5" t="s">
        <v>18</v>
      </c>
      <c r="H27" s="6">
        <v>25.528813820214602</v>
      </c>
      <c r="I27" s="28"/>
      <c r="J27" s="28"/>
      <c r="N27" s="8">
        <v>0</v>
      </c>
      <c r="O27" s="9">
        <v>60</v>
      </c>
      <c r="P27" s="5" t="s">
        <v>16</v>
      </c>
      <c r="Q27" s="19"/>
      <c r="R27" s="31"/>
      <c r="S27" s="32"/>
      <c r="T27" s="32"/>
      <c r="U27" s="33"/>
      <c r="V27" s="31"/>
      <c r="W27" s="32"/>
      <c r="X27" s="32"/>
      <c r="Y27" s="33"/>
      <c r="Z27" s="31"/>
      <c r="AA27" s="32"/>
      <c r="AB27" s="32"/>
      <c r="AC27" s="19"/>
    </row>
    <row r="28" spans="2:29" ht="15" customHeight="1" x14ac:dyDescent="0.25">
      <c r="B28" s="5" t="s">
        <v>297</v>
      </c>
      <c r="C28" s="5" t="s">
        <v>15</v>
      </c>
      <c r="D28" s="5" t="s">
        <v>16</v>
      </c>
      <c r="E28" s="5" t="s">
        <v>20</v>
      </c>
      <c r="F28" s="5" t="s">
        <v>143</v>
      </c>
      <c r="G28" s="5" t="s">
        <v>19</v>
      </c>
      <c r="H28" s="6">
        <v>25.409747140946799</v>
      </c>
      <c r="I28" s="28"/>
      <c r="J28" s="28"/>
      <c r="N28" s="8">
        <v>0</v>
      </c>
      <c r="O28" s="9">
        <v>60</v>
      </c>
      <c r="P28" s="5" t="s">
        <v>16</v>
      </c>
      <c r="Q28" s="19"/>
      <c r="R28" s="31"/>
      <c r="S28" s="32"/>
      <c r="T28" s="32"/>
      <c r="U28" s="33"/>
      <c r="V28" s="31"/>
      <c r="W28" s="32"/>
      <c r="X28" s="32"/>
      <c r="Y28" s="33"/>
      <c r="Z28" s="31"/>
      <c r="AA28" s="32"/>
      <c r="AB28" s="32"/>
      <c r="AC28" s="19"/>
    </row>
    <row r="29" spans="2:29" ht="15" customHeight="1" x14ac:dyDescent="0.25">
      <c r="H29" s="28"/>
      <c r="I29" s="28"/>
      <c r="J29" s="28"/>
      <c r="N29" s="8">
        <v>0</v>
      </c>
      <c r="O29" s="9">
        <v>60</v>
      </c>
      <c r="P29" s="5" t="s">
        <v>16</v>
      </c>
      <c r="Q29" s="19"/>
      <c r="R29" s="31"/>
      <c r="S29" s="32"/>
      <c r="T29" s="32"/>
      <c r="U29" s="33"/>
      <c r="V29" s="31"/>
      <c r="W29" s="32"/>
      <c r="X29" s="32"/>
      <c r="Y29" s="33"/>
      <c r="Z29" s="31"/>
      <c r="AA29" s="32"/>
      <c r="AB29" s="32"/>
      <c r="AC29" s="19"/>
    </row>
    <row r="30" spans="2:29" ht="15" customHeight="1" x14ac:dyDescent="0.25">
      <c r="B30" s="5" t="s">
        <v>298</v>
      </c>
      <c r="C30" s="5" t="s">
        <v>15</v>
      </c>
      <c r="D30" s="5" t="s">
        <v>16</v>
      </c>
      <c r="E30" s="5" t="s">
        <v>20</v>
      </c>
      <c r="F30" s="5" t="s">
        <v>144</v>
      </c>
      <c r="G30" s="5" t="s">
        <v>17</v>
      </c>
      <c r="H30" s="6">
        <v>24.092726860712201</v>
      </c>
      <c r="I30" s="28">
        <f>AVERAGE(H30:H32)</f>
        <v>24.287371855927102</v>
      </c>
      <c r="J30" s="28">
        <f>_xlfn.STDEV.S(H30:H32)</f>
        <v>0.30616379249518638</v>
      </c>
      <c r="N30" s="8">
        <v>0</v>
      </c>
      <c r="O30" s="9">
        <v>60</v>
      </c>
      <c r="P30" s="5" t="s">
        <v>16</v>
      </c>
      <c r="Q30" s="19"/>
      <c r="R30" s="31">
        <f>I30/I64</f>
        <v>0.99871239683138502</v>
      </c>
      <c r="S30" s="32">
        <f>I30-I64</f>
        <v>-3.1312815439399344E-2</v>
      </c>
      <c r="T30" s="32">
        <f t="shared" si="0"/>
        <v>0.97852945565034444</v>
      </c>
      <c r="U30" s="33"/>
      <c r="V30" s="31">
        <f>I30/I98</f>
        <v>1.0748252581297739</v>
      </c>
      <c r="W30" s="32">
        <f>I30-I98</f>
        <v>1.6907947172508031</v>
      </c>
      <c r="X30" s="32">
        <f>POWER(2,W30)</f>
        <v>3.2283449003987656</v>
      </c>
      <c r="Y30" s="33"/>
      <c r="Z30" s="31">
        <f>I30/I132</f>
        <v>1.0510586887170836</v>
      </c>
      <c r="AA30" s="32">
        <f>I30-I132</f>
        <v>1.1798402626417328</v>
      </c>
      <c r="AB30" s="32">
        <f>POWER(2,AA30)</f>
        <v>2.2655169152742838</v>
      </c>
      <c r="AC30" s="19"/>
    </row>
    <row r="31" spans="2:29" ht="15" customHeight="1" x14ac:dyDescent="0.25">
      <c r="B31" s="5" t="s">
        <v>299</v>
      </c>
      <c r="C31" s="5" t="s">
        <v>15</v>
      </c>
      <c r="D31" s="5" t="s">
        <v>16</v>
      </c>
      <c r="E31" s="5" t="s">
        <v>20</v>
      </c>
      <c r="F31" s="5" t="s">
        <v>144</v>
      </c>
      <c r="G31" s="5" t="s">
        <v>18</v>
      </c>
      <c r="H31" s="6">
        <v>24.129114107401598</v>
      </c>
      <c r="I31" s="28"/>
      <c r="J31" s="28"/>
      <c r="N31" s="8">
        <v>0</v>
      </c>
      <c r="O31" s="9">
        <v>60</v>
      </c>
      <c r="P31" s="5" t="s">
        <v>16</v>
      </c>
      <c r="Q31" s="19"/>
      <c r="R31" s="23"/>
      <c r="S31" s="24"/>
      <c r="T31" s="24"/>
      <c r="U31" s="25"/>
      <c r="V31" s="23"/>
      <c r="W31" s="24"/>
      <c r="X31" s="24"/>
      <c r="Y31" s="25"/>
      <c r="Z31" s="23"/>
      <c r="AA31" s="24"/>
      <c r="AB31" s="24"/>
      <c r="AC31" s="19"/>
    </row>
    <row r="32" spans="2:29" ht="15" customHeight="1" x14ac:dyDescent="0.25">
      <c r="B32" s="5" t="s">
        <v>300</v>
      </c>
      <c r="C32" s="5" t="s">
        <v>15</v>
      </c>
      <c r="D32" s="5" t="s">
        <v>16</v>
      </c>
      <c r="E32" s="5" t="s">
        <v>20</v>
      </c>
      <c r="F32" s="5" t="s">
        <v>144</v>
      </c>
      <c r="G32" s="5" t="s">
        <v>19</v>
      </c>
      <c r="H32" s="6">
        <v>24.640274599667499</v>
      </c>
      <c r="I32" s="28"/>
      <c r="J32" s="28"/>
      <c r="N32" s="8">
        <v>0</v>
      </c>
      <c r="O32" s="9">
        <v>60</v>
      </c>
      <c r="P32" s="5" t="s">
        <v>16</v>
      </c>
      <c r="Q32" s="19"/>
      <c r="R32" s="23"/>
      <c r="S32" s="24"/>
      <c r="T32" s="24"/>
      <c r="U32" s="25"/>
      <c r="V32" s="23"/>
      <c r="W32" s="24"/>
      <c r="X32" s="24"/>
      <c r="Y32" s="25"/>
      <c r="Z32" s="23"/>
      <c r="AA32" s="24"/>
      <c r="AB32" s="24"/>
      <c r="AC32" s="19"/>
    </row>
    <row r="33" spans="2:29" ht="15" customHeight="1" x14ac:dyDescent="0.25">
      <c r="B33" s="11"/>
      <c r="C33" s="11"/>
      <c r="D33" s="11"/>
      <c r="E33" s="11"/>
      <c r="F33" s="11"/>
      <c r="G33" s="11"/>
      <c r="H33" s="29"/>
      <c r="I33" s="29"/>
      <c r="J33" s="29"/>
      <c r="K33" s="13"/>
      <c r="L33" s="12"/>
      <c r="M33" s="13"/>
      <c r="N33" s="13">
        <v>0</v>
      </c>
      <c r="O33" s="14">
        <v>60</v>
      </c>
      <c r="P33" s="11" t="s">
        <v>16</v>
      </c>
      <c r="Q33" s="20"/>
      <c r="R33" s="26"/>
      <c r="S33" s="24"/>
      <c r="T33" s="24"/>
      <c r="U33" s="27"/>
      <c r="V33" s="26"/>
      <c r="W33" s="24"/>
      <c r="X33" s="24"/>
      <c r="Y33" s="27"/>
      <c r="Z33" s="26"/>
      <c r="AA33" s="24"/>
      <c r="AB33" s="24"/>
      <c r="AC33" s="20"/>
    </row>
    <row r="34" spans="2:29" ht="15" customHeight="1" x14ac:dyDescent="0.2">
      <c r="B34" s="21"/>
      <c r="C34" s="21"/>
      <c r="D34" s="21"/>
      <c r="E34" s="21"/>
      <c r="F34" s="21"/>
      <c r="G34" s="21"/>
      <c r="H34" s="30"/>
      <c r="I34" s="30"/>
      <c r="J34" s="30"/>
      <c r="K34" s="21"/>
      <c r="L34" s="21"/>
      <c r="M34" s="21"/>
      <c r="N34" s="21">
        <v>0</v>
      </c>
      <c r="O34" s="21">
        <v>60</v>
      </c>
      <c r="P34" s="21" t="s">
        <v>16</v>
      </c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2:29" ht="15" customHeight="1" x14ac:dyDescent="0.2">
      <c r="B35" s="10"/>
      <c r="C35" s="10"/>
      <c r="D35" s="10"/>
      <c r="E35" s="10"/>
      <c r="F35" s="10"/>
      <c r="G35" s="10"/>
      <c r="H35" s="28"/>
      <c r="I35" s="28"/>
      <c r="J35" s="28"/>
      <c r="K35" s="10"/>
      <c r="L35" s="10"/>
      <c r="M35" s="10"/>
      <c r="N35" s="10"/>
      <c r="O35" s="10"/>
      <c r="P35" s="10"/>
      <c r="Q35" s="19"/>
      <c r="R35" s="17"/>
      <c r="U35" s="19"/>
      <c r="V35" s="17"/>
      <c r="Y35" s="19"/>
      <c r="Z35" s="17"/>
      <c r="AC35" s="19"/>
    </row>
    <row r="36" spans="2:29" ht="15" customHeight="1" x14ac:dyDescent="0.2">
      <c r="B36" s="5" t="s">
        <v>271</v>
      </c>
      <c r="C36" s="5" t="s">
        <v>15</v>
      </c>
      <c r="D36" s="5" t="s">
        <v>16</v>
      </c>
      <c r="E36" s="5" t="s">
        <v>20</v>
      </c>
      <c r="F36" s="5" t="s">
        <v>264</v>
      </c>
      <c r="G36" s="5" t="s">
        <v>17</v>
      </c>
      <c r="H36" s="6">
        <v>25.345608035206201</v>
      </c>
      <c r="I36" s="28">
        <f>AVERAGE(H36:H38)</f>
        <v>25.197476629243067</v>
      </c>
      <c r="J36" s="28">
        <f>_xlfn.STDEV.S(H36:H38)</f>
        <v>0.12836389227538311</v>
      </c>
      <c r="N36" s="8">
        <v>0</v>
      </c>
      <c r="O36" s="9">
        <v>60</v>
      </c>
      <c r="P36" s="5" t="s">
        <v>16</v>
      </c>
      <c r="Q36" s="19"/>
      <c r="R36" s="17"/>
      <c r="U36" s="19"/>
      <c r="V36" s="17"/>
      <c r="Y36" s="19"/>
      <c r="Z36" s="17"/>
      <c r="AC36" s="19"/>
    </row>
    <row r="37" spans="2:29" ht="15" customHeight="1" x14ac:dyDescent="0.2">
      <c r="B37" s="5" t="s">
        <v>272</v>
      </c>
      <c r="C37" s="5" t="s">
        <v>15</v>
      </c>
      <c r="D37" s="5" t="s">
        <v>16</v>
      </c>
      <c r="E37" s="5" t="s">
        <v>20</v>
      </c>
      <c r="F37" s="5" t="s">
        <v>264</v>
      </c>
      <c r="G37" s="5" t="s">
        <v>18</v>
      </c>
      <c r="H37" s="6">
        <v>25.1189272039658</v>
      </c>
      <c r="I37" s="28"/>
      <c r="J37" s="28"/>
      <c r="Q37" s="19"/>
      <c r="R37" s="17"/>
      <c r="U37" s="19"/>
      <c r="V37" s="17"/>
      <c r="Y37" s="19"/>
      <c r="Z37" s="17"/>
      <c r="AC37" s="19"/>
    </row>
    <row r="38" spans="2:29" ht="15" customHeight="1" x14ac:dyDescent="0.2">
      <c r="B38" s="5" t="s">
        <v>273</v>
      </c>
      <c r="C38" s="5" t="s">
        <v>15</v>
      </c>
      <c r="D38" s="5" t="s">
        <v>16</v>
      </c>
      <c r="E38" s="5" t="s">
        <v>20</v>
      </c>
      <c r="F38" s="5" t="s">
        <v>264</v>
      </c>
      <c r="G38" s="5" t="s">
        <v>19</v>
      </c>
      <c r="H38" s="6">
        <v>25.127894648557199</v>
      </c>
      <c r="I38" s="28"/>
      <c r="J38" s="28"/>
      <c r="Q38" s="19"/>
      <c r="R38" s="17"/>
      <c r="U38" s="19"/>
      <c r="V38" s="17"/>
      <c r="Y38" s="19"/>
      <c r="Z38" s="17"/>
      <c r="AC38" s="19"/>
    </row>
    <row r="39" spans="2:29" ht="15" customHeight="1" x14ac:dyDescent="0.2">
      <c r="H39" s="28"/>
      <c r="I39" s="28"/>
      <c r="J39" s="28"/>
      <c r="N39" s="8">
        <v>0</v>
      </c>
      <c r="O39" s="9">
        <v>60</v>
      </c>
      <c r="P39" s="5" t="s">
        <v>16</v>
      </c>
      <c r="Q39" s="19"/>
      <c r="R39" s="17"/>
      <c r="U39" s="19"/>
      <c r="V39" s="17"/>
      <c r="Y39" s="19"/>
      <c r="Z39" s="17"/>
      <c r="AC39" s="19"/>
    </row>
    <row r="40" spans="2:29" ht="15" customHeight="1" x14ac:dyDescent="0.2">
      <c r="B40" s="5" t="s">
        <v>277</v>
      </c>
      <c r="C40" s="5" t="s">
        <v>15</v>
      </c>
      <c r="D40" s="5" t="s">
        <v>16</v>
      </c>
      <c r="E40" s="5" t="s">
        <v>20</v>
      </c>
      <c r="F40" s="5" t="s">
        <v>145</v>
      </c>
      <c r="G40" s="5" t="s">
        <v>17</v>
      </c>
      <c r="H40" s="6">
        <v>26.152062673509</v>
      </c>
      <c r="I40" s="28">
        <f>AVERAGE(H40:H42)</f>
        <v>25.930928382919433</v>
      </c>
      <c r="J40" s="28">
        <f>_xlfn.STDEV.S(H40:H42)</f>
        <v>0.24045990700057179</v>
      </c>
      <c r="N40" s="8">
        <v>0</v>
      </c>
      <c r="O40" s="9">
        <v>60</v>
      </c>
      <c r="P40" s="5" t="s">
        <v>16</v>
      </c>
      <c r="Q40" s="19"/>
      <c r="R40" s="17"/>
      <c r="U40" s="19"/>
      <c r="V40" s="17"/>
      <c r="Y40" s="19"/>
      <c r="Z40" s="17"/>
      <c r="AC40" s="19"/>
    </row>
    <row r="41" spans="2:29" ht="15" customHeight="1" x14ac:dyDescent="0.2">
      <c r="B41" s="5" t="s">
        <v>278</v>
      </c>
      <c r="C41" s="5" t="s">
        <v>15</v>
      </c>
      <c r="D41" s="5" t="s">
        <v>16</v>
      </c>
      <c r="E41" s="5" t="s">
        <v>20</v>
      </c>
      <c r="F41" s="5" t="s">
        <v>145</v>
      </c>
      <c r="G41" s="5" t="s">
        <v>18</v>
      </c>
      <c r="H41" s="6">
        <v>25.965776800817899</v>
      </c>
      <c r="I41" s="28"/>
      <c r="J41" s="28"/>
      <c r="N41" s="8">
        <v>0</v>
      </c>
      <c r="O41" s="9">
        <v>60</v>
      </c>
      <c r="P41" s="5" t="s">
        <v>16</v>
      </c>
      <c r="Q41" s="19"/>
      <c r="R41" s="17"/>
      <c r="U41" s="19"/>
      <c r="V41" s="17"/>
      <c r="Y41" s="19"/>
      <c r="Z41" s="17"/>
      <c r="AC41" s="19"/>
    </row>
    <row r="42" spans="2:29" ht="15" customHeight="1" x14ac:dyDescent="0.2">
      <c r="B42" s="5" t="s">
        <v>279</v>
      </c>
      <c r="C42" s="5" t="s">
        <v>15</v>
      </c>
      <c r="D42" s="5" t="s">
        <v>16</v>
      </c>
      <c r="E42" s="5" t="s">
        <v>20</v>
      </c>
      <c r="F42" s="5" t="s">
        <v>145</v>
      </c>
      <c r="G42" s="5" t="s">
        <v>19</v>
      </c>
      <c r="H42" s="6">
        <v>25.674945674431399</v>
      </c>
      <c r="I42" s="28"/>
      <c r="J42" s="28"/>
      <c r="N42" s="8">
        <v>0</v>
      </c>
      <c r="O42" s="9">
        <v>60</v>
      </c>
      <c r="P42" s="5" t="s">
        <v>16</v>
      </c>
      <c r="Q42" s="19"/>
      <c r="R42" s="17"/>
      <c r="U42" s="19"/>
      <c r="V42" s="17"/>
      <c r="Y42" s="19"/>
      <c r="Z42" s="17"/>
      <c r="AC42" s="19"/>
    </row>
    <row r="43" spans="2:29" ht="15" customHeight="1" x14ac:dyDescent="0.2">
      <c r="H43" s="28"/>
      <c r="I43" s="28"/>
      <c r="J43" s="28"/>
      <c r="N43" s="8">
        <v>0</v>
      </c>
      <c r="O43" s="9">
        <v>60</v>
      </c>
      <c r="P43" s="5" t="s">
        <v>16</v>
      </c>
      <c r="Q43" s="19"/>
      <c r="R43" s="17"/>
      <c r="U43" s="19"/>
      <c r="V43" s="17"/>
      <c r="Y43" s="19"/>
      <c r="Z43" s="17"/>
      <c r="AC43" s="19"/>
    </row>
    <row r="44" spans="2:29" ht="15" customHeight="1" x14ac:dyDescent="0.2">
      <c r="B44" s="5" t="s">
        <v>21</v>
      </c>
      <c r="C44" s="5" t="s">
        <v>15</v>
      </c>
      <c r="D44" s="5" t="s">
        <v>16</v>
      </c>
      <c r="E44" s="5" t="s">
        <v>20</v>
      </c>
      <c r="F44" s="5" t="s">
        <v>146</v>
      </c>
      <c r="G44" s="5" t="s">
        <v>17</v>
      </c>
      <c r="H44" s="6">
        <v>25.2525263265894</v>
      </c>
      <c r="I44" s="28">
        <f>AVERAGE(H44:H46)</f>
        <v>25.157220495727234</v>
      </c>
      <c r="J44" s="28">
        <f>_xlfn.STDEV.S(H44:H46)</f>
        <v>8.2807778103184501E-2</v>
      </c>
      <c r="N44" s="8">
        <v>0</v>
      </c>
      <c r="O44" s="9">
        <v>60</v>
      </c>
      <c r="P44" s="5" t="s">
        <v>16</v>
      </c>
      <c r="Q44" s="19"/>
      <c r="R44" s="17"/>
      <c r="U44" s="19"/>
      <c r="V44" s="17"/>
      <c r="Y44" s="19"/>
      <c r="Z44" s="17"/>
      <c r="AC44" s="19"/>
    </row>
    <row r="45" spans="2:29" ht="15" customHeight="1" x14ac:dyDescent="0.2">
      <c r="B45" s="5" t="s">
        <v>23</v>
      </c>
      <c r="C45" s="5" t="s">
        <v>15</v>
      </c>
      <c r="D45" s="5" t="s">
        <v>16</v>
      </c>
      <c r="E45" s="5" t="s">
        <v>20</v>
      </c>
      <c r="F45" s="5" t="s">
        <v>146</v>
      </c>
      <c r="G45" s="5" t="s">
        <v>18</v>
      </c>
      <c r="H45" s="6">
        <v>25.116255410074199</v>
      </c>
      <c r="I45" s="28"/>
      <c r="J45" s="28"/>
      <c r="N45" s="8">
        <v>0</v>
      </c>
      <c r="O45" s="9">
        <v>60</v>
      </c>
      <c r="P45" s="5" t="s">
        <v>16</v>
      </c>
      <c r="Q45" s="19"/>
      <c r="R45" s="17"/>
      <c r="U45" s="19"/>
      <c r="V45" s="17"/>
      <c r="Y45" s="19"/>
      <c r="Z45" s="17"/>
      <c r="AC45" s="19"/>
    </row>
    <row r="46" spans="2:29" ht="15" customHeight="1" x14ac:dyDescent="0.2">
      <c r="B46" s="5" t="s">
        <v>24</v>
      </c>
      <c r="C46" s="5" t="s">
        <v>15</v>
      </c>
      <c r="D46" s="5" t="s">
        <v>16</v>
      </c>
      <c r="E46" s="5" t="s">
        <v>20</v>
      </c>
      <c r="F46" s="5" t="s">
        <v>146</v>
      </c>
      <c r="G46" s="5" t="s">
        <v>19</v>
      </c>
      <c r="H46" s="6">
        <v>25.102879750518099</v>
      </c>
      <c r="I46" s="28"/>
      <c r="J46" s="28"/>
      <c r="N46" s="8">
        <v>0</v>
      </c>
      <c r="O46" s="9">
        <v>60</v>
      </c>
      <c r="P46" s="5" t="s">
        <v>16</v>
      </c>
      <c r="Q46" s="19"/>
      <c r="R46" s="17"/>
      <c r="U46" s="19"/>
      <c r="V46" s="17"/>
      <c r="Y46" s="19"/>
      <c r="Z46" s="17"/>
      <c r="AC46" s="19"/>
    </row>
    <row r="47" spans="2:29" ht="15" customHeight="1" x14ac:dyDescent="0.2">
      <c r="B47" s="10"/>
      <c r="C47" s="10"/>
      <c r="D47" s="10"/>
      <c r="E47" s="10"/>
      <c r="F47" s="10"/>
      <c r="H47" s="28"/>
      <c r="I47" s="28"/>
      <c r="J47" s="28"/>
      <c r="N47" s="8">
        <v>0</v>
      </c>
      <c r="O47" s="9">
        <v>60</v>
      </c>
      <c r="P47" s="5" t="s">
        <v>16</v>
      </c>
      <c r="Q47" s="19"/>
      <c r="R47" s="17"/>
      <c r="U47" s="19"/>
      <c r="V47" s="17"/>
      <c r="Y47" s="19"/>
      <c r="Z47" s="17"/>
      <c r="AC47" s="19"/>
    </row>
    <row r="48" spans="2:29" ht="15" customHeight="1" x14ac:dyDescent="0.2">
      <c r="B48" s="5" t="s">
        <v>25</v>
      </c>
      <c r="C48" s="5" t="s">
        <v>15</v>
      </c>
      <c r="D48" s="5" t="s">
        <v>16</v>
      </c>
      <c r="E48" s="5" t="s">
        <v>20</v>
      </c>
      <c r="F48" s="5" t="s">
        <v>147</v>
      </c>
      <c r="G48" s="5" t="s">
        <v>17</v>
      </c>
      <c r="H48" s="6">
        <v>25.079273866629599</v>
      </c>
      <c r="I48" s="28">
        <f>AVERAGE(H48:H50)</f>
        <v>24.917795149329066</v>
      </c>
      <c r="J48" s="28">
        <f>_xlfn.STDEV.S(H48:H50)</f>
        <v>0.14677831844726885</v>
      </c>
      <c r="N48" s="8">
        <v>0</v>
      </c>
      <c r="O48" s="9">
        <v>60</v>
      </c>
      <c r="P48" s="5" t="s">
        <v>16</v>
      </c>
      <c r="Q48" s="19"/>
      <c r="R48" s="17"/>
      <c r="U48" s="19"/>
      <c r="V48" s="17"/>
      <c r="Y48" s="19"/>
      <c r="Z48" s="17"/>
      <c r="AC48" s="19"/>
    </row>
    <row r="49" spans="2:29" ht="15" customHeight="1" x14ac:dyDescent="0.2">
      <c r="B49" s="5" t="s">
        <v>27</v>
      </c>
      <c r="C49" s="5" t="s">
        <v>15</v>
      </c>
      <c r="D49" s="5" t="s">
        <v>16</v>
      </c>
      <c r="E49" s="5" t="s">
        <v>20</v>
      </c>
      <c r="F49" s="5" t="s">
        <v>147</v>
      </c>
      <c r="G49" s="5" t="s">
        <v>18</v>
      </c>
      <c r="H49" s="6">
        <v>24.7924761690963</v>
      </c>
      <c r="I49" s="28"/>
      <c r="J49" s="28"/>
      <c r="N49" s="8">
        <v>0</v>
      </c>
      <c r="O49" s="9">
        <v>60</v>
      </c>
      <c r="P49" s="5" t="s">
        <v>16</v>
      </c>
      <c r="Q49" s="19"/>
      <c r="R49" s="17"/>
      <c r="U49" s="19"/>
      <c r="V49" s="17"/>
      <c r="Y49" s="19"/>
      <c r="Z49" s="17"/>
      <c r="AC49" s="19"/>
    </row>
    <row r="50" spans="2:29" ht="15" customHeight="1" x14ac:dyDescent="0.2">
      <c r="B50" s="5" t="s">
        <v>28</v>
      </c>
      <c r="C50" s="5" t="s">
        <v>15</v>
      </c>
      <c r="D50" s="5" t="s">
        <v>16</v>
      </c>
      <c r="E50" s="5" t="s">
        <v>20</v>
      </c>
      <c r="F50" s="5" t="s">
        <v>147</v>
      </c>
      <c r="G50" s="5" t="s">
        <v>19</v>
      </c>
      <c r="H50" s="6">
        <v>24.8816354122613</v>
      </c>
      <c r="I50" s="28"/>
      <c r="J50" s="28"/>
      <c r="N50" s="8">
        <v>0</v>
      </c>
      <c r="O50" s="9">
        <v>60</v>
      </c>
      <c r="P50" s="5" t="s">
        <v>16</v>
      </c>
      <c r="Q50" s="19"/>
      <c r="R50" s="17"/>
      <c r="U50" s="19"/>
      <c r="V50" s="17"/>
      <c r="Y50" s="19"/>
      <c r="Z50" s="17"/>
      <c r="AC50" s="19"/>
    </row>
    <row r="51" spans="2:29" ht="15" customHeight="1" x14ac:dyDescent="0.2">
      <c r="B51" s="10"/>
      <c r="C51" s="10"/>
      <c r="D51" s="10"/>
      <c r="E51" s="10"/>
      <c r="F51" s="10"/>
      <c r="H51" s="28"/>
      <c r="I51" s="28"/>
      <c r="J51" s="28"/>
      <c r="N51" s="8">
        <v>0</v>
      </c>
      <c r="O51" s="9">
        <v>60</v>
      </c>
      <c r="P51" s="5" t="s">
        <v>16</v>
      </c>
      <c r="Q51" s="19"/>
      <c r="R51" s="17"/>
      <c r="U51" s="19"/>
      <c r="V51" s="17"/>
      <c r="Y51" s="19"/>
      <c r="Z51" s="17"/>
      <c r="AC51" s="19"/>
    </row>
    <row r="52" spans="2:29" ht="15" customHeight="1" x14ac:dyDescent="0.2">
      <c r="B52" s="5" t="s">
        <v>29</v>
      </c>
      <c r="C52" s="5" t="s">
        <v>15</v>
      </c>
      <c r="D52" s="5" t="s">
        <v>16</v>
      </c>
      <c r="E52" s="5" t="s">
        <v>20</v>
      </c>
      <c r="F52" s="5" t="s">
        <v>148</v>
      </c>
      <c r="G52" s="5" t="s">
        <v>17</v>
      </c>
      <c r="H52" s="6">
        <v>22.7390710105301</v>
      </c>
      <c r="I52" s="28">
        <f>AVERAGE(H52:H54)</f>
        <v>22.583322790320199</v>
      </c>
      <c r="J52" s="28">
        <f>_xlfn.STDEV.S(H52:H54)</f>
        <v>0.13921633349361201</v>
      </c>
      <c r="N52" s="8">
        <v>0</v>
      </c>
      <c r="O52" s="9">
        <v>60</v>
      </c>
      <c r="P52" s="5" t="s">
        <v>16</v>
      </c>
      <c r="Q52" s="19"/>
      <c r="R52" s="17"/>
      <c r="U52" s="19"/>
      <c r="V52" s="17"/>
      <c r="Y52" s="19"/>
      <c r="Z52" s="17"/>
      <c r="AC52" s="19"/>
    </row>
    <row r="53" spans="2:29" ht="15" customHeight="1" x14ac:dyDescent="0.2">
      <c r="B53" s="5" t="s">
        <v>31</v>
      </c>
      <c r="C53" s="5" t="s">
        <v>15</v>
      </c>
      <c r="D53" s="5" t="s">
        <v>16</v>
      </c>
      <c r="E53" s="5" t="s">
        <v>20</v>
      </c>
      <c r="F53" s="5" t="s">
        <v>148</v>
      </c>
      <c r="G53" s="5" t="s">
        <v>18</v>
      </c>
      <c r="H53" s="6">
        <v>22.539916874793601</v>
      </c>
      <c r="I53" s="28"/>
      <c r="J53" s="28"/>
      <c r="N53" s="8">
        <v>0</v>
      </c>
      <c r="O53" s="9">
        <v>60</v>
      </c>
      <c r="P53" s="5" t="s">
        <v>16</v>
      </c>
      <c r="Q53" s="19"/>
      <c r="R53" s="17"/>
      <c r="U53" s="19"/>
      <c r="V53" s="17"/>
      <c r="Y53" s="19"/>
      <c r="Z53" s="17"/>
      <c r="AC53" s="19"/>
    </row>
    <row r="54" spans="2:29" ht="15" customHeight="1" x14ac:dyDescent="0.2">
      <c r="B54" s="5" t="s">
        <v>32</v>
      </c>
      <c r="C54" s="5" t="s">
        <v>15</v>
      </c>
      <c r="D54" s="5" t="s">
        <v>16</v>
      </c>
      <c r="E54" s="5" t="s">
        <v>20</v>
      </c>
      <c r="F54" s="5" t="s">
        <v>148</v>
      </c>
      <c r="G54" s="5" t="s">
        <v>19</v>
      </c>
      <c r="H54" s="6">
        <v>22.4709804856369</v>
      </c>
      <c r="I54" s="28"/>
      <c r="J54" s="28"/>
      <c r="N54" s="8">
        <v>0</v>
      </c>
      <c r="O54" s="9">
        <v>60</v>
      </c>
      <c r="P54" s="5" t="s">
        <v>16</v>
      </c>
      <c r="Q54" s="19"/>
      <c r="R54" s="17"/>
      <c r="U54" s="19"/>
      <c r="V54" s="17"/>
      <c r="Y54" s="19"/>
      <c r="Z54" s="17"/>
      <c r="AC54" s="19"/>
    </row>
    <row r="55" spans="2:29" x14ac:dyDescent="0.2">
      <c r="H55" s="28"/>
      <c r="I55" s="28"/>
      <c r="J55" s="28"/>
      <c r="Q55" s="19"/>
      <c r="R55" s="17"/>
      <c r="U55" s="19"/>
      <c r="V55" s="17"/>
      <c r="Y55" s="19"/>
      <c r="Z55" s="17"/>
      <c r="AC55" s="19"/>
    </row>
    <row r="56" spans="2:29" ht="15" customHeight="1" x14ac:dyDescent="0.2">
      <c r="B56" s="5" t="s">
        <v>33</v>
      </c>
      <c r="C56" s="5" t="s">
        <v>15</v>
      </c>
      <c r="D56" s="5" t="s">
        <v>16</v>
      </c>
      <c r="E56" s="5" t="s">
        <v>20</v>
      </c>
      <c r="F56" s="5" t="s">
        <v>149</v>
      </c>
      <c r="G56" s="5" t="s">
        <v>17</v>
      </c>
      <c r="H56" s="6">
        <v>25.3823143640534</v>
      </c>
      <c r="I56" s="28">
        <f>AVERAGE(H56:H58)</f>
        <v>25.227240056450068</v>
      </c>
      <c r="J56" s="28">
        <f>_xlfn.STDEV.S(H56:H58)</f>
        <v>0.14434991043276449</v>
      </c>
      <c r="N56" s="8">
        <v>0</v>
      </c>
      <c r="O56" s="9">
        <v>60</v>
      </c>
      <c r="P56" s="5" t="s">
        <v>16</v>
      </c>
      <c r="Q56" s="19"/>
      <c r="R56" s="17"/>
      <c r="U56" s="19"/>
      <c r="V56" s="17"/>
      <c r="Y56" s="19"/>
      <c r="Z56" s="17"/>
      <c r="AC56" s="19"/>
    </row>
    <row r="57" spans="2:29" ht="15" customHeight="1" x14ac:dyDescent="0.2">
      <c r="B57" s="5" t="s">
        <v>35</v>
      </c>
      <c r="C57" s="5" t="s">
        <v>15</v>
      </c>
      <c r="D57" s="5" t="s">
        <v>16</v>
      </c>
      <c r="E57" s="5" t="s">
        <v>20</v>
      </c>
      <c r="F57" s="5" t="s">
        <v>149</v>
      </c>
      <c r="G57" s="5" t="s">
        <v>18</v>
      </c>
      <c r="H57" s="6">
        <v>25.2026261110069</v>
      </c>
      <c r="I57" s="28"/>
      <c r="J57" s="28"/>
      <c r="N57" s="8">
        <v>0</v>
      </c>
      <c r="O57" s="9">
        <v>60</v>
      </c>
      <c r="P57" s="5" t="s">
        <v>16</v>
      </c>
      <c r="Q57" s="19"/>
      <c r="R57" s="17"/>
      <c r="U57" s="19"/>
      <c r="V57" s="17"/>
      <c r="Y57" s="19"/>
      <c r="Z57" s="17"/>
      <c r="AC57" s="19"/>
    </row>
    <row r="58" spans="2:29" ht="15" customHeight="1" x14ac:dyDescent="0.2">
      <c r="B58" s="5" t="s">
        <v>36</v>
      </c>
      <c r="C58" s="5" t="s">
        <v>15</v>
      </c>
      <c r="D58" s="5" t="s">
        <v>16</v>
      </c>
      <c r="E58" s="5" t="s">
        <v>20</v>
      </c>
      <c r="F58" s="5" t="s">
        <v>149</v>
      </c>
      <c r="G58" s="5" t="s">
        <v>19</v>
      </c>
      <c r="H58" s="6">
        <v>25.0967796942899</v>
      </c>
      <c r="I58" s="28"/>
      <c r="J58" s="28"/>
      <c r="N58" s="8">
        <v>0</v>
      </c>
      <c r="O58" s="9">
        <v>60</v>
      </c>
      <c r="P58" s="5" t="s">
        <v>16</v>
      </c>
      <c r="Q58" s="19"/>
      <c r="R58" s="17"/>
      <c r="U58" s="19"/>
      <c r="V58" s="17"/>
      <c r="Y58" s="19"/>
      <c r="Z58" s="17"/>
      <c r="AC58" s="19"/>
    </row>
    <row r="59" spans="2:29" x14ac:dyDescent="0.2">
      <c r="H59" s="28"/>
      <c r="I59" s="28"/>
      <c r="J59" s="28"/>
      <c r="Q59" s="19"/>
      <c r="R59" s="17"/>
      <c r="U59" s="19"/>
      <c r="V59" s="17"/>
      <c r="Y59" s="19"/>
      <c r="Z59" s="17"/>
      <c r="AC59" s="19"/>
    </row>
    <row r="60" spans="2:29" ht="15" customHeight="1" x14ac:dyDescent="0.2">
      <c r="B60" s="5" t="s">
        <v>37</v>
      </c>
      <c r="C60" s="5" t="s">
        <v>15</v>
      </c>
      <c r="D60" s="5" t="s">
        <v>16</v>
      </c>
      <c r="E60" s="5" t="s">
        <v>20</v>
      </c>
      <c r="F60" s="5" t="s">
        <v>150</v>
      </c>
      <c r="G60" s="5" t="s">
        <v>17</v>
      </c>
      <c r="H60" s="6">
        <v>25.172531174419401</v>
      </c>
      <c r="I60" s="28">
        <f>AVERAGE(H60:H62)</f>
        <v>25.103433356654364</v>
      </c>
      <c r="J60" s="28">
        <f>_xlfn.STDEV.S(H60:H62)</f>
        <v>5.9889212377285596E-2</v>
      </c>
      <c r="N60" s="8">
        <v>0</v>
      </c>
      <c r="O60" s="9">
        <v>60</v>
      </c>
      <c r="P60" s="5" t="s">
        <v>16</v>
      </c>
      <c r="Q60" s="19"/>
      <c r="R60" s="17"/>
      <c r="U60" s="19"/>
      <c r="V60" s="17"/>
      <c r="Y60" s="19"/>
      <c r="Z60" s="17"/>
      <c r="AC60" s="19"/>
    </row>
    <row r="61" spans="2:29" ht="15" customHeight="1" x14ac:dyDescent="0.2">
      <c r="B61" s="5" t="s">
        <v>39</v>
      </c>
      <c r="C61" s="5" t="s">
        <v>15</v>
      </c>
      <c r="D61" s="5" t="s">
        <v>16</v>
      </c>
      <c r="E61" s="5" t="s">
        <v>20</v>
      </c>
      <c r="F61" s="5" t="s">
        <v>150</v>
      </c>
      <c r="G61" s="5" t="s">
        <v>18</v>
      </c>
      <c r="H61" s="6">
        <v>25.071300321165499</v>
      </c>
      <c r="I61" s="28"/>
      <c r="J61" s="28"/>
      <c r="N61" s="8">
        <v>0</v>
      </c>
      <c r="O61" s="9">
        <v>60</v>
      </c>
      <c r="P61" s="5" t="s">
        <v>16</v>
      </c>
      <c r="Q61" s="19"/>
      <c r="R61" s="17"/>
      <c r="U61" s="19"/>
      <c r="V61" s="17"/>
      <c r="Y61" s="19"/>
      <c r="Z61" s="17"/>
      <c r="AC61" s="19"/>
    </row>
    <row r="62" spans="2:29" ht="15" customHeight="1" x14ac:dyDescent="0.2">
      <c r="B62" s="5" t="s">
        <v>40</v>
      </c>
      <c r="C62" s="5" t="s">
        <v>15</v>
      </c>
      <c r="D62" s="5" t="s">
        <v>16</v>
      </c>
      <c r="E62" s="5" t="s">
        <v>20</v>
      </c>
      <c r="F62" s="5" t="s">
        <v>150</v>
      </c>
      <c r="G62" s="5" t="s">
        <v>19</v>
      </c>
      <c r="H62" s="6">
        <v>25.066468574378199</v>
      </c>
      <c r="I62" s="28"/>
      <c r="J62" s="28"/>
      <c r="N62" s="8">
        <v>0</v>
      </c>
      <c r="O62" s="9">
        <v>60</v>
      </c>
      <c r="P62" s="5" t="s">
        <v>16</v>
      </c>
      <c r="Q62" s="19"/>
      <c r="R62" s="17"/>
      <c r="U62" s="19"/>
      <c r="V62" s="17"/>
      <c r="Y62" s="19"/>
      <c r="Z62" s="17"/>
      <c r="AC62" s="19"/>
    </row>
    <row r="63" spans="2:29" x14ac:dyDescent="0.2">
      <c r="H63" s="28"/>
      <c r="I63" s="28"/>
      <c r="J63" s="28"/>
      <c r="Q63" s="19"/>
      <c r="R63" s="17"/>
      <c r="U63" s="19"/>
      <c r="V63" s="17"/>
      <c r="Y63" s="19"/>
      <c r="Z63" s="17"/>
      <c r="AC63" s="19"/>
    </row>
    <row r="64" spans="2:29" ht="15" customHeight="1" x14ac:dyDescent="0.2">
      <c r="B64" s="5" t="s">
        <v>41</v>
      </c>
      <c r="C64" s="5" t="s">
        <v>15</v>
      </c>
      <c r="D64" s="5" t="s">
        <v>16</v>
      </c>
      <c r="E64" s="5" t="s">
        <v>20</v>
      </c>
      <c r="F64" s="5" t="s">
        <v>151</v>
      </c>
      <c r="G64" s="5" t="s">
        <v>17</v>
      </c>
      <c r="H64" s="6">
        <v>24.376300840264602</v>
      </c>
      <c r="I64" s="28">
        <f>AVERAGE(H64:H66)</f>
        <v>24.318684671366501</v>
      </c>
      <c r="J64" s="28">
        <f>_xlfn.STDEV.S(H64:H66)</f>
        <v>0.15352806621631943</v>
      </c>
      <c r="N64" s="8">
        <v>0</v>
      </c>
      <c r="O64" s="9">
        <v>60</v>
      </c>
      <c r="P64" s="5" t="s">
        <v>16</v>
      </c>
      <c r="Q64" s="19"/>
      <c r="R64" s="17"/>
      <c r="U64" s="19"/>
      <c r="V64" s="17"/>
      <c r="Y64" s="19"/>
      <c r="Z64" s="17"/>
      <c r="AC64" s="19"/>
    </row>
    <row r="65" spans="2:29" ht="15" customHeight="1" x14ac:dyDescent="0.2">
      <c r="B65" s="5" t="s">
        <v>43</v>
      </c>
      <c r="C65" s="5" t="s">
        <v>15</v>
      </c>
      <c r="D65" s="5" t="s">
        <v>16</v>
      </c>
      <c r="E65" s="5" t="s">
        <v>20</v>
      </c>
      <c r="F65" s="5" t="s">
        <v>151</v>
      </c>
      <c r="G65" s="5" t="s">
        <v>18</v>
      </c>
      <c r="H65" s="6">
        <v>24.144683095578301</v>
      </c>
      <c r="I65" s="28"/>
      <c r="J65" s="28"/>
      <c r="N65" s="8">
        <v>0</v>
      </c>
      <c r="O65" s="9">
        <v>60</v>
      </c>
      <c r="P65" s="5" t="s">
        <v>16</v>
      </c>
      <c r="Q65" s="19"/>
      <c r="R65" s="17"/>
      <c r="U65" s="19"/>
      <c r="V65" s="17"/>
      <c r="Y65" s="19"/>
      <c r="Z65" s="17"/>
      <c r="AC65" s="19"/>
    </row>
    <row r="66" spans="2:29" ht="15" customHeight="1" x14ac:dyDescent="0.2">
      <c r="B66" s="5" t="s">
        <v>44</v>
      </c>
      <c r="C66" s="5" t="s">
        <v>15</v>
      </c>
      <c r="D66" s="5" t="s">
        <v>16</v>
      </c>
      <c r="E66" s="5" t="s">
        <v>20</v>
      </c>
      <c r="F66" s="5" t="s">
        <v>151</v>
      </c>
      <c r="G66" s="5" t="s">
        <v>19</v>
      </c>
      <c r="H66" s="6">
        <v>24.435070078256601</v>
      </c>
      <c r="I66" s="28"/>
      <c r="J66" s="28"/>
      <c r="N66" s="8">
        <v>0</v>
      </c>
      <c r="O66" s="9">
        <v>60</v>
      </c>
      <c r="P66" s="5" t="s">
        <v>16</v>
      </c>
      <c r="Q66" s="19"/>
      <c r="R66" s="17"/>
      <c r="U66" s="19"/>
      <c r="V66" s="17"/>
      <c r="Y66" s="19"/>
      <c r="Z66" s="17"/>
      <c r="AC66" s="19"/>
    </row>
    <row r="67" spans="2:29" ht="15" customHeight="1" x14ac:dyDescent="0.2">
      <c r="B67" s="11"/>
      <c r="C67" s="11"/>
      <c r="D67" s="11"/>
      <c r="E67" s="11"/>
      <c r="F67" s="11"/>
      <c r="G67" s="11"/>
      <c r="H67" s="29"/>
      <c r="I67" s="29"/>
      <c r="J67" s="29"/>
      <c r="K67" s="13"/>
      <c r="L67" s="12"/>
      <c r="M67" s="13"/>
      <c r="N67" s="13">
        <v>0</v>
      </c>
      <c r="O67" s="14">
        <v>60</v>
      </c>
      <c r="P67" s="11" t="s">
        <v>16</v>
      </c>
      <c r="Q67" s="20"/>
      <c r="R67" s="16"/>
      <c r="U67" s="20"/>
      <c r="V67" s="16"/>
      <c r="Y67" s="20"/>
      <c r="Z67" s="16"/>
      <c r="AC67" s="20"/>
    </row>
    <row r="68" spans="2:29" ht="15" customHeight="1" x14ac:dyDescent="0.2">
      <c r="B68" s="21"/>
      <c r="C68" s="21"/>
      <c r="D68" s="21"/>
      <c r="E68" s="21"/>
      <c r="F68" s="21"/>
      <c r="G68" s="21"/>
      <c r="H68" s="30"/>
      <c r="I68" s="30"/>
      <c r="J68" s="30"/>
      <c r="K68" s="21"/>
      <c r="L68" s="21"/>
      <c r="M68" s="21"/>
      <c r="N68" s="21">
        <v>0</v>
      </c>
      <c r="O68" s="21">
        <v>60</v>
      </c>
      <c r="P68" s="21" t="s">
        <v>16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2:29" ht="15" customHeight="1" x14ac:dyDescent="0.2">
      <c r="B69" s="10"/>
      <c r="C69" s="10"/>
      <c r="D69" s="10"/>
      <c r="E69" s="10"/>
      <c r="F69" s="10"/>
      <c r="G69" s="10"/>
      <c r="H69" s="28"/>
      <c r="I69" s="28"/>
      <c r="J69" s="28"/>
      <c r="K69" s="10"/>
      <c r="L69" s="10"/>
      <c r="M69" s="10"/>
      <c r="N69" s="10"/>
      <c r="O69" s="10"/>
      <c r="P69" s="10"/>
      <c r="Q69" s="19"/>
      <c r="R69" s="17"/>
      <c r="U69" s="19"/>
      <c r="V69" s="17"/>
      <c r="Y69" s="19"/>
      <c r="Z69" s="17"/>
      <c r="AC69" s="19"/>
    </row>
    <row r="70" spans="2:29" ht="15" customHeight="1" x14ac:dyDescent="0.2">
      <c r="B70" s="5" t="s">
        <v>45</v>
      </c>
      <c r="C70" s="5" t="s">
        <v>15</v>
      </c>
      <c r="D70" s="5" t="s">
        <v>16</v>
      </c>
      <c r="E70" s="5" t="s">
        <v>20</v>
      </c>
      <c r="F70" s="5" t="s">
        <v>265</v>
      </c>
      <c r="G70" s="5" t="s">
        <v>17</v>
      </c>
      <c r="H70" s="6">
        <v>23.620482280779001</v>
      </c>
      <c r="I70" s="28">
        <f>AVERAGE(H70:H72)</f>
        <v>23.603200627118468</v>
      </c>
      <c r="J70" s="28">
        <f>_xlfn.STDEV.S(H70:H72)</f>
        <v>4.8672282242037831E-2</v>
      </c>
      <c r="N70" s="8">
        <v>0</v>
      </c>
      <c r="O70" s="9">
        <v>60</v>
      </c>
      <c r="P70" s="5" t="s">
        <v>16</v>
      </c>
      <c r="Q70" s="19"/>
      <c r="R70" s="17"/>
      <c r="U70" s="19"/>
      <c r="V70" s="17"/>
      <c r="Y70" s="19"/>
      <c r="Z70" s="17"/>
      <c r="AC70" s="19"/>
    </row>
    <row r="71" spans="2:29" x14ac:dyDescent="0.2">
      <c r="B71" s="5" t="s">
        <v>47</v>
      </c>
      <c r="C71" s="5" t="s">
        <v>15</v>
      </c>
      <c r="D71" s="5" t="s">
        <v>16</v>
      </c>
      <c r="E71" s="5" t="s">
        <v>20</v>
      </c>
      <c r="F71" s="5" t="s">
        <v>265</v>
      </c>
      <c r="G71" s="5" t="s">
        <v>18</v>
      </c>
      <c r="H71" s="6">
        <v>23.6408739384505</v>
      </c>
      <c r="I71" s="28"/>
      <c r="J71" s="28"/>
      <c r="Q71" s="19"/>
      <c r="R71" s="17"/>
      <c r="U71" s="19"/>
      <c r="V71" s="17"/>
      <c r="Y71" s="19"/>
      <c r="Z71" s="17"/>
      <c r="AC71" s="19"/>
    </row>
    <row r="72" spans="2:29" ht="15" customHeight="1" x14ac:dyDescent="0.2">
      <c r="B72" s="5" t="s">
        <v>48</v>
      </c>
      <c r="C72" s="5" t="s">
        <v>15</v>
      </c>
      <c r="D72" s="5" t="s">
        <v>16</v>
      </c>
      <c r="E72" s="5" t="s">
        <v>20</v>
      </c>
      <c r="F72" s="5" t="s">
        <v>265</v>
      </c>
      <c r="G72" s="5" t="s">
        <v>19</v>
      </c>
      <c r="H72" s="6">
        <v>23.5482456621259</v>
      </c>
      <c r="I72" s="28"/>
      <c r="J72" s="28"/>
      <c r="Q72" s="19"/>
      <c r="R72" s="17"/>
      <c r="U72" s="19"/>
      <c r="V72" s="17"/>
      <c r="Y72" s="19"/>
      <c r="Z72" s="17"/>
      <c r="AC72" s="19"/>
    </row>
    <row r="73" spans="2:29" ht="15" customHeight="1" x14ac:dyDescent="0.2">
      <c r="H73" s="28"/>
      <c r="I73" s="28"/>
      <c r="J73" s="28"/>
      <c r="N73" s="8">
        <v>0</v>
      </c>
      <c r="O73" s="9">
        <v>60</v>
      </c>
      <c r="P73" s="5" t="s">
        <v>16</v>
      </c>
      <c r="Q73" s="19"/>
      <c r="R73" s="17"/>
      <c r="U73" s="19"/>
      <c r="V73" s="17"/>
      <c r="Y73" s="19"/>
      <c r="Z73" s="17"/>
      <c r="AC73" s="19"/>
    </row>
    <row r="74" spans="2:29" ht="15" customHeight="1" x14ac:dyDescent="0.2">
      <c r="B74" s="5" t="s">
        <v>49</v>
      </c>
      <c r="C74" s="5" t="s">
        <v>15</v>
      </c>
      <c r="D74" s="5" t="s">
        <v>16</v>
      </c>
      <c r="E74" s="5" t="s">
        <v>20</v>
      </c>
      <c r="F74" s="5" t="s">
        <v>152</v>
      </c>
      <c r="G74" s="5" t="s">
        <v>17</v>
      </c>
      <c r="H74" s="6">
        <v>24.3397615748646</v>
      </c>
      <c r="I74" s="28">
        <f>AVERAGE(H74:H76)</f>
        <v>24.272081413661798</v>
      </c>
      <c r="J74" s="28">
        <f>_xlfn.STDEV.S(H74:H76)</f>
        <v>8.4113755477200167E-2</v>
      </c>
      <c r="N74" s="8">
        <v>0</v>
      </c>
      <c r="O74" s="9">
        <v>60</v>
      </c>
      <c r="P74" s="5" t="s">
        <v>16</v>
      </c>
      <c r="Q74" s="19"/>
      <c r="R74" s="17"/>
      <c r="U74" s="19"/>
      <c r="V74" s="17"/>
      <c r="Y74" s="19"/>
      <c r="Z74" s="17"/>
      <c r="AC74" s="19"/>
    </row>
    <row r="75" spans="2:29" x14ac:dyDescent="0.2">
      <c r="B75" s="5" t="s">
        <v>51</v>
      </c>
      <c r="C75" s="5" t="s">
        <v>15</v>
      </c>
      <c r="D75" s="5" t="s">
        <v>16</v>
      </c>
      <c r="E75" s="5" t="s">
        <v>20</v>
      </c>
      <c r="F75" s="5" t="s">
        <v>152</v>
      </c>
      <c r="G75" s="5" t="s">
        <v>18</v>
      </c>
      <c r="H75" s="6">
        <v>24.177911649693499</v>
      </c>
      <c r="I75" s="28"/>
      <c r="J75" s="28"/>
      <c r="N75" s="8">
        <v>0</v>
      </c>
      <c r="O75" s="9">
        <v>60</v>
      </c>
      <c r="P75" s="5" t="s">
        <v>16</v>
      </c>
      <c r="Q75" s="19"/>
      <c r="R75" s="17"/>
      <c r="U75" s="19"/>
      <c r="V75" s="17"/>
      <c r="Y75" s="19"/>
      <c r="Z75" s="17"/>
      <c r="AC75" s="19"/>
    </row>
    <row r="76" spans="2:29" x14ac:dyDescent="0.2">
      <c r="B76" s="5" t="s">
        <v>52</v>
      </c>
      <c r="C76" s="5" t="s">
        <v>15</v>
      </c>
      <c r="D76" s="5" t="s">
        <v>16</v>
      </c>
      <c r="E76" s="5" t="s">
        <v>20</v>
      </c>
      <c r="F76" s="5" t="s">
        <v>152</v>
      </c>
      <c r="G76" s="5" t="s">
        <v>19</v>
      </c>
      <c r="H76" s="6">
        <v>24.298571016427299</v>
      </c>
      <c r="I76" s="28"/>
      <c r="J76" s="28"/>
      <c r="N76" s="8">
        <v>0</v>
      </c>
      <c r="O76" s="9">
        <v>60</v>
      </c>
      <c r="P76" s="5" t="s">
        <v>16</v>
      </c>
      <c r="Q76" s="19"/>
      <c r="R76" s="17"/>
      <c r="U76" s="19"/>
      <c r="V76" s="17"/>
      <c r="Y76" s="19"/>
      <c r="Z76" s="17"/>
      <c r="AC76" s="19"/>
    </row>
    <row r="77" spans="2:29" x14ac:dyDescent="0.2">
      <c r="H77" s="28"/>
      <c r="I77" s="28"/>
      <c r="J77" s="28"/>
      <c r="N77" s="8">
        <v>0</v>
      </c>
      <c r="O77" s="9">
        <v>60</v>
      </c>
      <c r="P77" s="5" t="s">
        <v>16</v>
      </c>
      <c r="Q77" s="19"/>
      <c r="R77" s="17"/>
      <c r="U77" s="19"/>
      <c r="V77" s="17"/>
      <c r="Y77" s="19"/>
      <c r="Z77" s="17"/>
      <c r="AC77" s="19"/>
    </row>
    <row r="78" spans="2:29" x14ac:dyDescent="0.2">
      <c r="B78" s="5" t="s">
        <v>301</v>
      </c>
      <c r="C78" s="5" t="s">
        <v>15</v>
      </c>
      <c r="D78" s="5" t="s">
        <v>16</v>
      </c>
      <c r="E78" s="5" t="s">
        <v>20</v>
      </c>
      <c r="F78" s="5" t="s">
        <v>153</v>
      </c>
      <c r="G78" s="5" t="s">
        <v>17</v>
      </c>
      <c r="H78" s="6">
        <v>23.486203222556099</v>
      </c>
      <c r="I78" s="28">
        <f>AVERAGE(H78:H80)</f>
        <v>23.520277201976032</v>
      </c>
      <c r="J78" s="28">
        <f>_xlfn.STDEV.S(H78:H80)</f>
        <v>2.9724533885467235E-2</v>
      </c>
      <c r="N78" s="8">
        <v>0</v>
      </c>
      <c r="O78" s="9">
        <v>60</v>
      </c>
      <c r="P78" s="5" t="s">
        <v>16</v>
      </c>
      <c r="Q78" s="19"/>
      <c r="R78" s="17"/>
      <c r="U78" s="19"/>
      <c r="V78" s="17"/>
      <c r="Y78" s="19"/>
      <c r="Z78" s="17"/>
      <c r="AC78" s="19"/>
    </row>
    <row r="79" spans="2:29" x14ac:dyDescent="0.2">
      <c r="B79" s="5" t="s">
        <v>302</v>
      </c>
      <c r="C79" s="5" t="s">
        <v>15</v>
      </c>
      <c r="D79" s="5" t="s">
        <v>16</v>
      </c>
      <c r="E79" s="5" t="s">
        <v>20</v>
      </c>
      <c r="F79" s="5" t="s">
        <v>153</v>
      </c>
      <c r="G79" s="5" t="s">
        <v>18</v>
      </c>
      <c r="H79" s="6">
        <v>23.5337405577406</v>
      </c>
      <c r="I79" s="28"/>
      <c r="J79" s="28"/>
      <c r="N79" s="8">
        <v>0</v>
      </c>
      <c r="O79" s="9">
        <v>60</v>
      </c>
      <c r="P79" s="5" t="s">
        <v>16</v>
      </c>
      <c r="Q79" s="19"/>
      <c r="R79" s="17"/>
      <c r="U79" s="19"/>
      <c r="V79" s="17"/>
      <c r="Y79" s="19"/>
      <c r="Z79" s="17"/>
      <c r="AC79" s="19"/>
    </row>
    <row r="80" spans="2:29" x14ac:dyDescent="0.2">
      <c r="B80" s="5" t="s">
        <v>303</v>
      </c>
      <c r="C80" s="5" t="s">
        <v>15</v>
      </c>
      <c r="D80" s="5" t="s">
        <v>16</v>
      </c>
      <c r="E80" s="5" t="s">
        <v>20</v>
      </c>
      <c r="F80" s="5" t="s">
        <v>153</v>
      </c>
      <c r="G80" s="5" t="s">
        <v>19</v>
      </c>
      <c r="H80" s="6">
        <v>23.540887825631401</v>
      </c>
      <c r="I80" s="28"/>
      <c r="J80" s="28"/>
      <c r="N80" s="8">
        <v>0</v>
      </c>
      <c r="O80" s="9">
        <v>60</v>
      </c>
      <c r="P80" s="5" t="s">
        <v>16</v>
      </c>
      <c r="Q80" s="19"/>
      <c r="R80" s="17"/>
      <c r="U80" s="19"/>
      <c r="V80" s="17"/>
      <c r="Y80" s="19"/>
      <c r="Z80" s="17"/>
      <c r="AC80" s="19"/>
    </row>
    <row r="81" spans="2:29" x14ac:dyDescent="0.2">
      <c r="B81" s="10"/>
      <c r="C81" s="10"/>
      <c r="D81" s="10"/>
      <c r="E81" s="10"/>
      <c r="F81" s="10"/>
      <c r="H81" s="28"/>
      <c r="I81" s="28"/>
      <c r="J81" s="28"/>
      <c r="N81" s="8">
        <v>0</v>
      </c>
      <c r="O81" s="9">
        <v>60</v>
      </c>
      <c r="P81" s="5" t="s">
        <v>16</v>
      </c>
      <c r="Q81" s="19"/>
      <c r="R81" s="17"/>
      <c r="U81" s="19"/>
      <c r="V81" s="17"/>
      <c r="Y81" s="19"/>
      <c r="Z81" s="17"/>
      <c r="AC81" s="19"/>
    </row>
    <row r="82" spans="2:29" x14ac:dyDescent="0.2">
      <c r="B82" s="5" t="s">
        <v>304</v>
      </c>
      <c r="C82" s="5" t="s">
        <v>15</v>
      </c>
      <c r="D82" s="5" t="s">
        <v>16</v>
      </c>
      <c r="E82" s="5" t="s">
        <v>20</v>
      </c>
      <c r="F82" s="5" t="s">
        <v>154</v>
      </c>
      <c r="G82" s="5" t="s">
        <v>17</v>
      </c>
      <c r="H82" s="6">
        <v>23.501894336461898</v>
      </c>
      <c r="I82" s="28">
        <f>AVERAGE(H82:H84)</f>
        <v>23.598526338789529</v>
      </c>
      <c r="J82" s="28">
        <f>_xlfn.STDEV.S(H82:H84)</f>
        <v>0.12714246344752839</v>
      </c>
      <c r="N82" s="8">
        <v>0</v>
      </c>
      <c r="O82" s="9">
        <v>60</v>
      </c>
      <c r="P82" s="5" t="s">
        <v>16</v>
      </c>
      <c r="Q82" s="19"/>
      <c r="R82" s="17"/>
      <c r="U82" s="19"/>
      <c r="V82" s="17"/>
      <c r="Y82" s="19"/>
      <c r="Z82" s="17"/>
      <c r="AC82" s="19"/>
    </row>
    <row r="83" spans="2:29" x14ac:dyDescent="0.2">
      <c r="B83" s="5" t="s">
        <v>305</v>
      </c>
      <c r="C83" s="5" t="s">
        <v>15</v>
      </c>
      <c r="D83" s="5" t="s">
        <v>16</v>
      </c>
      <c r="E83" s="5" t="s">
        <v>20</v>
      </c>
      <c r="F83" s="5" t="s">
        <v>154</v>
      </c>
      <c r="G83" s="5" t="s">
        <v>18</v>
      </c>
      <c r="H83" s="6">
        <v>23.742560144494199</v>
      </c>
      <c r="I83" s="28"/>
      <c r="J83" s="28"/>
      <c r="N83" s="8">
        <v>0</v>
      </c>
      <c r="O83" s="9">
        <v>60</v>
      </c>
      <c r="P83" s="5" t="s">
        <v>16</v>
      </c>
      <c r="Q83" s="19"/>
      <c r="R83" s="17"/>
      <c r="U83" s="19"/>
      <c r="V83" s="17"/>
      <c r="Y83" s="19"/>
      <c r="Z83" s="17"/>
      <c r="AC83" s="19"/>
    </row>
    <row r="84" spans="2:29" x14ac:dyDescent="0.2">
      <c r="B84" s="5" t="s">
        <v>306</v>
      </c>
      <c r="C84" s="5" t="s">
        <v>15</v>
      </c>
      <c r="D84" s="5" t="s">
        <v>16</v>
      </c>
      <c r="E84" s="5" t="s">
        <v>20</v>
      </c>
      <c r="F84" s="5" t="s">
        <v>154</v>
      </c>
      <c r="G84" s="5" t="s">
        <v>19</v>
      </c>
      <c r="H84" s="6">
        <v>23.551124535412502</v>
      </c>
      <c r="I84" s="28"/>
      <c r="J84" s="28"/>
      <c r="N84" s="8">
        <v>0</v>
      </c>
      <c r="O84" s="9">
        <v>60</v>
      </c>
      <c r="P84" s="5" t="s">
        <v>16</v>
      </c>
      <c r="Q84" s="19"/>
      <c r="R84" s="17"/>
      <c r="U84" s="19"/>
      <c r="V84" s="17"/>
      <c r="Y84" s="19"/>
      <c r="Z84" s="17"/>
      <c r="AC84" s="19"/>
    </row>
    <row r="85" spans="2:29" x14ac:dyDescent="0.2">
      <c r="B85" s="10"/>
      <c r="C85" s="10"/>
      <c r="D85" s="10"/>
      <c r="E85" s="10"/>
      <c r="F85" s="10"/>
      <c r="H85" s="28"/>
      <c r="I85" s="28"/>
      <c r="J85" s="28"/>
      <c r="N85" s="8">
        <v>0</v>
      </c>
      <c r="O85" s="9">
        <v>60</v>
      </c>
      <c r="P85" s="5" t="s">
        <v>16</v>
      </c>
      <c r="Q85" s="19"/>
      <c r="R85" s="17"/>
      <c r="U85" s="19"/>
      <c r="V85" s="17"/>
      <c r="Y85" s="19"/>
      <c r="Z85" s="17"/>
      <c r="AC85" s="19"/>
    </row>
    <row r="86" spans="2:29" x14ac:dyDescent="0.2">
      <c r="B86" s="5" t="s">
        <v>307</v>
      </c>
      <c r="C86" s="5" t="s">
        <v>15</v>
      </c>
      <c r="D86" s="5" t="s">
        <v>16</v>
      </c>
      <c r="E86" s="5" t="s">
        <v>20</v>
      </c>
      <c r="F86" s="5" t="s">
        <v>155</v>
      </c>
      <c r="G86" s="5" t="s">
        <v>17</v>
      </c>
      <c r="H86" s="6">
        <v>21.211686331802898</v>
      </c>
      <c r="I86" s="28">
        <f>AVERAGE(H86:H88)</f>
        <v>21.252819000834435</v>
      </c>
      <c r="J86" s="28">
        <f>_xlfn.STDEV.S(H86:H88)</f>
        <v>3.8496296760492918E-2</v>
      </c>
      <c r="N86" s="8">
        <v>0</v>
      </c>
      <c r="O86" s="9">
        <v>60</v>
      </c>
      <c r="P86" s="5" t="s">
        <v>16</v>
      </c>
      <c r="Q86" s="19"/>
      <c r="R86" s="17"/>
      <c r="U86" s="19"/>
      <c r="V86" s="17"/>
      <c r="Y86" s="19"/>
      <c r="Z86" s="17"/>
      <c r="AC86" s="19"/>
    </row>
    <row r="87" spans="2:29" x14ac:dyDescent="0.2">
      <c r="B87" s="5" t="s">
        <v>308</v>
      </c>
      <c r="C87" s="5" t="s">
        <v>15</v>
      </c>
      <c r="D87" s="5" t="s">
        <v>16</v>
      </c>
      <c r="E87" s="5" t="s">
        <v>20</v>
      </c>
      <c r="F87" s="5" t="s">
        <v>155</v>
      </c>
      <c r="G87" s="5" t="s">
        <v>18</v>
      </c>
      <c r="H87" s="6">
        <v>21.2587893592599</v>
      </c>
      <c r="I87" s="28"/>
      <c r="J87" s="28"/>
      <c r="N87" s="8">
        <v>0</v>
      </c>
      <c r="O87" s="9">
        <v>60</v>
      </c>
      <c r="P87" s="5" t="s">
        <v>16</v>
      </c>
      <c r="Q87" s="19"/>
      <c r="R87" s="17"/>
      <c r="U87" s="19"/>
      <c r="V87" s="17"/>
      <c r="Y87" s="19"/>
      <c r="Z87" s="17"/>
      <c r="AC87" s="19"/>
    </row>
    <row r="88" spans="2:29" x14ac:dyDescent="0.2">
      <c r="B88" s="5" t="s">
        <v>309</v>
      </c>
      <c r="C88" s="5" t="s">
        <v>15</v>
      </c>
      <c r="D88" s="5" t="s">
        <v>16</v>
      </c>
      <c r="E88" s="5" t="s">
        <v>20</v>
      </c>
      <c r="F88" s="5" t="s">
        <v>155</v>
      </c>
      <c r="G88" s="5" t="s">
        <v>19</v>
      </c>
      <c r="H88" s="6">
        <v>21.2879813114405</v>
      </c>
      <c r="I88" s="28"/>
      <c r="J88" s="28"/>
      <c r="N88" s="8">
        <v>0</v>
      </c>
      <c r="O88" s="9">
        <v>60</v>
      </c>
      <c r="P88" s="5" t="s">
        <v>16</v>
      </c>
      <c r="Q88" s="19"/>
      <c r="R88" s="17"/>
      <c r="U88" s="19"/>
      <c r="V88" s="17"/>
      <c r="Y88" s="19"/>
      <c r="Z88" s="17"/>
      <c r="AC88" s="19"/>
    </row>
    <row r="89" spans="2:29" x14ac:dyDescent="0.2">
      <c r="H89" s="28"/>
      <c r="I89" s="28"/>
      <c r="J89" s="28"/>
      <c r="Q89" s="19"/>
      <c r="R89" s="17"/>
      <c r="U89" s="19"/>
      <c r="V89" s="17"/>
      <c r="Y89" s="19"/>
      <c r="Z89" s="17"/>
      <c r="AC89" s="19"/>
    </row>
    <row r="90" spans="2:29" x14ac:dyDescent="0.2">
      <c r="B90" s="5" t="s">
        <v>310</v>
      </c>
      <c r="C90" s="5" t="s">
        <v>15</v>
      </c>
      <c r="D90" s="5" t="s">
        <v>16</v>
      </c>
      <c r="E90" s="5" t="s">
        <v>20</v>
      </c>
      <c r="F90" s="5" t="s">
        <v>156</v>
      </c>
      <c r="G90" s="5" t="s">
        <v>17</v>
      </c>
      <c r="H90" s="6">
        <v>23.5807701485423</v>
      </c>
      <c r="I90" s="28">
        <f>AVERAGE(H90:H92)</f>
        <v>23.561512760939198</v>
      </c>
      <c r="J90" s="28">
        <f>_xlfn.STDEV.S(H90:H92)</f>
        <v>2.0453508768508606E-2</v>
      </c>
      <c r="N90" s="8">
        <v>0</v>
      </c>
      <c r="O90" s="9">
        <v>60</v>
      </c>
      <c r="P90" s="5" t="s">
        <v>16</v>
      </c>
      <c r="Q90" s="19"/>
      <c r="R90" s="17"/>
      <c r="U90" s="19"/>
      <c r="V90" s="17"/>
      <c r="Y90" s="19"/>
      <c r="Z90" s="17"/>
      <c r="AC90" s="19"/>
    </row>
    <row r="91" spans="2:29" x14ac:dyDescent="0.2">
      <c r="B91" s="5" t="s">
        <v>311</v>
      </c>
      <c r="C91" s="5" t="s">
        <v>15</v>
      </c>
      <c r="D91" s="5" t="s">
        <v>16</v>
      </c>
      <c r="E91" s="5" t="s">
        <v>20</v>
      </c>
      <c r="F91" s="5" t="s">
        <v>156</v>
      </c>
      <c r="G91" s="5" t="s">
        <v>18</v>
      </c>
      <c r="H91" s="6">
        <v>23.540043003504199</v>
      </c>
      <c r="I91" s="28"/>
      <c r="J91" s="28"/>
      <c r="N91" s="8">
        <v>0</v>
      </c>
      <c r="O91" s="9">
        <v>60</v>
      </c>
      <c r="P91" s="5" t="s">
        <v>16</v>
      </c>
      <c r="Q91" s="19"/>
      <c r="R91" s="17"/>
      <c r="U91" s="19"/>
      <c r="V91" s="17"/>
      <c r="Y91" s="19"/>
      <c r="Z91" s="17"/>
      <c r="AC91" s="19"/>
    </row>
    <row r="92" spans="2:29" x14ac:dyDescent="0.2">
      <c r="B92" s="5" t="s">
        <v>312</v>
      </c>
      <c r="C92" s="5" t="s">
        <v>15</v>
      </c>
      <c r="D92" s="5" t="s">
        <v>16</v>
      </c>
      <c r="E92" s="5" t="s">
        <v>20</v>
      </c>
      <c r="F92" s="5" t="s">
        <v>156</v>
      </c>
      <c r="G92" s="5" t="s">
        <v>19</v>
      </c>
      <c r="H92" s="6">
        <v>23.5637251307711</v>
      </c>
      <c r="I92" s="28"/>
      <c r="J92" s="28"/>
      <c r="N92" s="8">
        <v>0</v>
      </c>
      <c r="O92" s="9">
        <v>60</v>
      </c>
      <c r="P92" s="5" t="s">
        <v>16</v>
      </c>
      <c r="Q92" s="19"/>
      <c r="R92" s="17"/>
      <c r="U92" s="19"/>
      <c r="V92" s="17"/>
      <c r="Y92" s="19"/>
      <c r="Z92" s="17"/>
      <c r="AC92" s="19"/>
    </row>
    <row r="93" spans="2:29" x14ac:dyDescent="0.2">
      <c r="H93" s="28"/>
      <c r="I93" s="28"/>
      <c r="J93" s="28"/>
      <c r="Q93" s="19"/>
      <c r="R93" s="17"/>
      <c r="U93" s="19"/>
      <c r="V93" s="17"/>
      <c r="Y93" s="19"/>
      <c r="Z93" s="17"/>
      <c r="AC93" s="19"/>
    </row>
    <row r="94" spans="2:29" x14ac:dyDescent="0.2">
      <c r="B94" s="5" t="s">
        <v>53</v>
      </c>
      <c r="C94" s="5" t="s">
        <v>15</v>
      </c>
      <c r="D94" s="5" t="s">
        <v>16</v>
      </c>
      <c r="E94" s="5" t="s">
        <v>20</v>
      </c>
      <c r="F94" s="5" t="s">
        <v>157</v>
      </c>
      <c r="G94" s="5" t="s">
        <v>17</v>
      </c>
      <c r="H94" s="6">
        <v>23.515266664270001</v>
      </c>
      <c r="I94" s="28">
        <f>AVERAGE(H94:H96)</f>
        <v>23.480090259540571</v>
      </c>
      <c r="J94" s="28">
        <f>_xlfn.STDEV.S(H94:H96)</f>
        <v>3.161478722253843E-2</v>
      </c>
      <c r="N94" s="8">
        <v>0</v>
      </c>
      <c r="O94" s="9">
        <v>60</v>
      </c>
      <c r="P94" s="5" t="s">
        <v>16</v>
      </c>
      <c r="Q94" s="19"/>
      <c r="R94" s="17"/>
      <c r="U94" s="19"/>
      <c r="V94" s="17"/>
      <c r="Y94" s="19"/>
      <c r="Z94" s="17"/>
      <c r="AC94" s="19"/>
    </row>
    <row r="95" spans="2:29" x14ac:dyDescent="0.2">
      <c r="B95" s="5" t="s">
        <v>54</v>
      </c>
      <c r="C95" s="5" t="s">
        <v>15</v>
      </c>
      <c r="D95" s="5" t="s">
        <v>16</v>
      </c>
      <c r="E95" s="5" t="s">
        <v>20</v>
      </c>
      <c r="F95" s="5" t="s">
        <v>157</v>
      </c>
      <c r="G95" s="5" t="s">
        <v>18</v>
      </c>
      <c r="H95" s="6">
        <v>23.454048644618801</v>
      </c>
      <c r="I95" s="28"/>
      <c r="J95" s="28"/>
      <c r="N95" s="8">
        <v>0</v>
      </c>
      <c r="O95" s="9">
        <v>60</v>
      </c>
      <c r="P95" s="5" t="s">
        <v>16</v>
      </c>
      <c r="Q95" s="19"/>
      <c r="R95" s="17"/>
      <c r="U95" s="19"/>
      <c r="V95" s="17"/>
      <c r="Y95" s="19"/>
      <c r="Z95" s="17"/>
      <c r="AC95" s="19"/>
    </row>
    <row r="96" spans="2:29" x14ac:dyDescent="0.2">
      <c r="B96" s="5" t="s">
        <v>55</v>
      </c>
      <c r="C96" s="5" t="s">
        <v>15</v>
      </c>
      <c r="D96" s="5" t="s">
        <v>16</v>
      </c>
      <c r="E96" s="5" t="s">
        <v>20</v>
      </c>
      <c r="F96" s="5" t="s">
        <v>157</v>
      </c>
      <c r="G96" s="5" t="s">
        <v>19</v>
      </c>
      <c r="H96" s="6">
        <v>23.4709554697329</v>
      </c>
      <c r="I96" s="28"/>
      <c r="J96" s="28"/>
      <c r="N96" s="8">
        <v>0</v>
      </c>
      <c r="O96" s="9">
        <v>60</v>
      </c>
      <c r="P96" s="5" t="s">
        <v>16</v>
      </c>
      <c r="Q96" s="19"/>
      <c r="R96" s="17"/>
      <c r="U96" s="19"/>
      <c r="V96" s="17"/>
      <c r="Y96" s="19"/>
      <c r="Z96" s="17"/>
      <c r="AC96" s="19"/>
    </row>
    <row r="97" spans="2:29" x14ac:dyDescent="0.2">
      <c r="H97" s="28"/>
      <c r="I97" s="28"/>
      <c r="J97" s="28"/>
      <c r="Q97" s="19"/>
      <c r="R97" s="17"/>
      <c r="U97" s="19"/>
      <c r="V97" s="17"/>
      <c r="Y97" s="19"/>
      <c r="Z97" s="17"/>
      <c r="AC97" s="19"/>
    </row>
    <row r="98" spans="2:29" x14ac:dyDescent="0.2">
      <c r="B98" s="5" t="s">
        <v>56</v>
      </c>
      <c r="C98" s="5" t="s">
        <v>15</v>
      </c>
      <c r="D98" s="5" t="s">
        <v>16</v>
      </c>
      <c r="E98" s="5" t="s">
        <v>20</v>
      </c>
      <c r="F98" s="5" t="s">
        <v>158</v>
      </c>
      <c r="G98" s="5" t="s">
        <v>17</v>
      </c>
      <c r="H98" s="6">
        <v>22.613776750567901</v>
      </c>
      <c r="I98" s="28">
        <f>AVERAGE(H98:H100)</f>
        <v>22.596577138676299</v>
      </c>
      <c r="J98" s="28">
        <f>_xlfn.STDEV.S(H98:H100)</f>
        <v>1.4911131873137957E-2</v>
      </c>
      <c r="N98" s="8">
        <v>0</v>
      </c>
      <c r="O98" s="9">
        <v>60</v>
      </c>
      <c r="P98" s="5" t="s">
        <v>16</v>
      </c>
      <c r="Q98" s="19"/>
      <c r="R98" s="17"/>
      <c r="U98" s="19"/>
      <c r="V98" s="17"/>
      <c r="Y98" s="19"/>
      <c r="Z98" s="17"/>
      <c r="AC98" s="19"/>
    </row>
    <row r="99" spans="2:29" x14ac:dyDescent="0.2">
      <c r="B99" s="5" t="s">
        <v>57</v>
      </c>
      <c r="C99" s="5" t="s">
        <v>15</v>
      </c>
      <c r="D99" s="5" t="s">
        <v>16</v>
      </c>
      <c r="E99" s="5" t="s">
        <v>20</v>
      </c>
      <c r="F99" s="5" t="s">
        <v>158</v>
      </c>
      <c r="G99" s="5" t="s">
        <v>18</v>
      </c>
      <c r="H99" s="6">
        <v>22.587290407099999</v>
      </c>
      <c r="I99" s="28"/>
      <c r="J99" s="28"/>
      <c r="N99" s="8">
        <v>0</v>
      </c>
      <c r="O99" s="9">
        <v>60</v>
      </c>
      <c r="P99" s="5" t="s">
        <v>16</v>
      </c>
      <c r="Q99" s="19"/>
      <c r="R99" s="17"/>
      <c r="U99" s="19"/>
      <c r="V99" s="17"/>
      <c r="Y99" s="19"/>
      <c r="Z99" s="17"/>
      <c r="AC99" s="19"/>
    </row>
    <row r="100" spans="2:29" x14ac:dyDescent="0.2">
      <c r="B100" s="5" t="s">
        <v>58</v>
      </c>
      <c r="C100" s="5" t="s">
        <v>15</v>
      </c>
      <c r="D100" s="5" t="s">
        <v>16</v>
      </c>
      <c r="E100" s="5" t="s">
        <v>20</v>
      </c>
      <c r="F100" s="5" t="s">
        <v>158</v>
      </c>
      <c r="G100" s="5" t="s">
        <v>19</v>
      </c>
      <c r="H100" s="6">
        <v>22.588664258361</v>
      </c>
      <c r="I100" s="28"/>
      <c r="J100" s="28"/>
      <c r="N100" s="8">
        <v>0</v>
      </c>
      <c r="O100" s="9">
        <v>60</v>
      </c>
      <c r="P100" s="5" t="s">
        <v>16</v>
      </c>
      <c r="Q100" s="19"/>
      <c r="R100" s="17"/>
      <c r="U100" s="19"/>
      <c r="V100" s="17"/>
      <c r="Y100" s="19"/>
      <c r="Z100" s="17"/>
      <c r="AC100" s="19"/>
    </row>
    <row r="101" spans="2:29" ht="19" x14ac:dyDescent="0.2">
      <c r="B101" s="11"/>
      <c r="C101" s="11"/>
      <c r="D101" s="11"/>
      <c r="E101" s="11"/>
      <c r="F101" s="11"/>
      <c r="G101" s="11"/>
      <c r="H101" s="29"/>
      <c r="I101" s="29"/>
      <c r="J101" s="29"/>
      <c r="K101" s="13"/>
      <c r="L101" s="12"/>
      <c r="M101" s="13"/>
      <c r="N101" s="13">
        <v>0</v>
      </c>
      <c r="O101" s="14">
        <v>60</v>
      </c>
      <c r="P101" s="11" t="s">
        <v>16</v>
      </c>
      <c r="Q101" s="20"/>
      <c r="R101" s="16"/>
      <c r="U101" s="20"/>
      <c r="V101" s="16"/>
      <c r="Y101" s="20"/>
      <c r="Z101" s="16"/>
      <c r="AC101" s="20"/>
    </row>
    <row r="102" spans="2:29" x14ac:dyDescent="0.2">
      <c r="B102" s="21"/>
      <c r="C102" s="21"/>
      <c r="D102" s="21"/>
      <c r="E102" s="21"/>
      <c r="F102" s="21"/>
      <c r="G102" s="21"/>
      <c r="H102" s="30"/>
      <c r="I102" s="30"/>
      <c r="J102" s="30"/>
      <c r="K102" s="21"/>
      <c r="L102" s="21"/>
      <c r="M102" s="21"/>
      <c r="N102" s="21">
        <v>0</v>
      </c>
      <c r="O102" s="21">
        <v>60</v>
      </c>
      <c r="P102" s="21" t="s">
        <v>16</v>
      </c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2:29" x14ac:dyDescent="0.2">
      <c r="B103" s="10"/>
      <c r="C103" s="10"/>
      <c r="D103" s="10"/>
      <c r="E103" s="10"/>
      <c r="F103" s="10"/>
      <c r="G103" s="10"/>
      <c r="H103" s="28"/>
      <c r="I103" s="28"/>
      <c r="J103" s="28"/>
      <c r="K103" s="10"/>
      <c r="L103" s="10"/>
      <c r="M103" s="10"/>
      <c r="N103" s="10"/>
      <c r="O103" s="10"/>
      <c r="P103" s="10"/>
      <c r="Q103" s="19"/>
      <c r="R103" s="17"/>
      <c r="U103" s="19"/>
      <c r="V103" s="17"/>
      <c r="Y103" s="19"/>
      <c r="Z103" s="17"/>
      <c r="AC103" s="19"/>
    </row>
    <row r="104" spans="2:29" x14ac:dyDescent="0.2">
      <c r="B104" s="5" t="s">
        <v>59</v>
      </c>
      <c r="C104" s="5" t="s">
        <v>15</v>
      </c>
      <c r="D104" s="5" t="s">
        <v>16</v>
      </c>
      <c r="E104" s="5" t="s">
        <v>20</v>
      </c>
      <c r="F104" s="5" t="s">
        <v>266</v>
      </c>
      <c r="G104" s="5" t="s">
        <v>17</v>
      </c>
      <c r="H104" s="6">
        <v>24.022998622696701</v>
      </c>
      <c r="I104" s="28">
        <f>AVERAGE(H104:H106)</f>
        <v>23.997289085032264</v>
      </c>
      <c r="J104" s="28">
        <f>_xlfn.STDEV.S(H104:H106)</f>
        <v>5.4780622542975409E-2</v>
      </c>
      <c r="N104" s="8">
        <v>0</v>
      </c>
      <c r="O104" s="9">
        <v>60</v>
      </c>
      <c r="P104" s="5" t="s">
        <v>16</v>
      </c>
      <c r="Q104" s="19"/>
      <c r="R104" s="17"/>
      <c r="U104" s="19"/>
      <c r="V104" s="17"/>
      <c r="Y104" s="19"/>
      <c r="Z104" s="17"/>
      <c r="AC104" s="19"/>
    </row>
    <row r="105" spans="2:29" x14ac:dyDescent="0.2">
      <c r="B105" s="5" t="s">
        <v>60</v>
      </c>
      <c r="C105" s="5" t="s">
        <v>15</v>
      </c>
      <c r="D105" s="5" t="s">
        <v>16</v>
      </c>
      <c r="E105" s="5" t="s">
        <v>20</v>
      </c>
      <c r="F105" s="5" t="s">
        <v>266</v>
      </c>
      <c r="G105" s="5" t="s">
        <v>18</v>
      </c>
      <c r="H105" s="6">
        <v>23.934382529408701</v>
      </c>
      <c r="I105" s="28"/>
      <c r="J105" s="28"/>
      <c r="Q105" s="19"/>
      <c r="R105" s="17"/>
      <c r="U105" s="19"/>
      <c r="V105" s="17"/>
      <c r="Y105" s="19"/>
      <c r="Z105" s="17"/>
      <c r="AC105" s="19"/>
    </row>
    <row r="106" spans="2:29" x14ac:dyDescent="0.2">
      <c r="B106" s="5" t="s">
        <v>61</v>
      </c>
      <c r="C106" s="5" t="s">
        <v>15</v>
      </c>
      <c r="D106" s="5" t="s">
        <v>16</v>
      </c>
      <c r="E106" s="5" t="s">
        <v>20</v>
      </c>
      <c r="F106" s="5" t="s">
        <v>266</v>
      </c>
      <c r="G106" s="5" t="s">
        <v>19</v>
      </c>
      <c r="H106" s="6">
        <v>24.034486102991401</v>
      </c>
      <c r="I106" s="28"/>
      <c r="J106" s="28"/>
      <c r="Q106" s="19"/>
      <c r="R106" s="17"/>
      <c r="U106" s="19"/>
      <c r="V106" s="17"/>
      <c r="Y106" s="19"/>
      <c r="Z106" s="17"/>
      <c r="AC106" s="19"/>
    </row>
    <row r="107" spans="2:29" x14ac:dyDescent="0.2">
      <c r="H107" s="28"/>
      <c r="I107" s="28"/>
      <c r="J107" s="28"/>
      <c r="N107" s="8">
        <v>0</v>
      </c>
      <c r="O107" s="9">
        <v>60</v>
      </c>
      <c r="P107" s="5" t="s">
        <v>16</v>
      </c>
      <c r="Q107" s="19"/>
      <c r="R107" s="17"/>
      <c r="U107" s="19"/>
      <c r="V107" s="17"/>
      <c r="Y107" s="19"/>
      <c r="Z107" s="17"/>
      <c r="AC107" s="19"/>
    </row>
    <row r="108" spans="2:29" x14ac:dyDescent="0.2">
      <c r="B108" s="5" t="s">
        <v>62</v>
      </c>
      <c r="C108" s="5" t="s">
        <v>15</v>
      </c>
      <c r="D108" s="5" t="s">
        <v>16</v>
      </c>
      <c r="E108" s="5" t="s">
        <v>20</v>
      </c>
      <c r="F108" s="5" t="s">
        <v>159</v>
      </c>
      <c r="G108" s="5" t="s">
        <v>17</v>
      </c>
      <c r="H108" s="6">
        <v>24.665338021135099</v>
      </c>
      <c r="I108" s="28">
        <f>AVERAGE(H108:H110)</f>
        <v>24.702805130747834</v>
      </c>
      <c r="J108" s="28">
        <f>_xlfn.STDEV.S(H108:H110)</f>
        <v>6.7298961008868508E-2</v>
      </c>
      <c r="N108" s="8">
        <v>0</v>
      </c>
      <c r="O108" s="9">
        <v>60</v>
      </c>
      <c r="P108" s="5" t="s">
        <v>16</v>
      </c>
      <c r="Q108" s="19"/>
      <c r="R108" s="17"/>
      <c r="U108" s="19"/>
      <c r="V108" s="17"/>
      <c r="Y108" s="19"/>
      <c r="Z108" s="17"/>
      <c r="AC108" s="19"/>
    </row>
    <row r="109" spans="2:29" x14ac:dyDescent="0.2">
      <c r="B109" s="5" t="s">
        <v>63</v>
      </c>
      <c r="C109" s="5" t="s">
        <v>15</v>
      </c>
      <c r="D109" s="5" t="s">
        <v>16</v>
      </c>
      <c r="E109" s="5" t="s">
        <v>20</v>
      </c>
      <c r="F109" s="5" t="s">
        <v>159</v>
      </c>
      <c r="G109" s="5" t="s">
        <v>18</v>
      </c>
      <c r="H109" s="6">
        <v>24.780498942726499</v>
      </c>
      <c r="I109" s="28"/>
      <c r="J109" s="28"/>
      <c r="N109" s="8">
        <v>0</v>
      </c>
      <c r="O109" s="9">
        <v>60</v>
      </c>
      <c r="P109" s="5" t="s">
        <v>16</v>
      </c>
      <c r="Q109" s="19"/>
      <c r="R109" s="17"/>
      <c r="U109" s="19"/>
      <c r="V109" s="17"/>
      <c r="Y109" s="19"/>
      <c r="Z109" s="17"/>
      <c r="AC109" s="19"/>
    </row>
    <row r="110" spans="2:29" x14ac:dyDescent="0.2">
      <c r="B110" s="5" t="s">
        <v>64</v>
      </c>
      <c r="C110" s="5" t="s">
        <v>15</v>
      </c>
      <c r="D110" s="5" t="s">
        <v>16</v>
      </c>
      <c r="E110" s="5" t="s">
        <v>20</v>
      </c>
      <c r="F110" s="5" t="s">
        <v>159</v>
      </c>
      <c r="G110" s="5" t="s">
        <v>19</v>
      </c>
      <c r="H110" s="6">
        <v>24.662578428381899</v>
      </c>
      <c r="I110" s="28"/>
      <c r="J110" s="28"/>
      <c r="N110" s="8">
        <v>0</v>
      </c>
      <c r="O110" s="9">
        <v>60</v>
      </c>
      <c r="P110" s="5" t="s">
        <v>16</v>
      </c>
      <c r="Q110" s="19"/>
      <c r="R110" s="17"/>
      <c r="U110" s="19"/>
      <c r="V110" s="17"/>
      <c r="Y110" s="19"/>
      <c r="Z110" s="17"/>
      <c r="AC110" s="19"/>
    </row>
    <row r="111" spans="2:29" x14ac:dyDescent="0.2">
      <c r="H111" s="28"/>
      <c r="I111" s="28"/>
      <c r="J111" s="28"/>
      <c r="N111" s="8">
        <v>0</v>
      </c>
      <c r="O111" s="9">
        <v>60</v>
      </c>
      <c r="P111" s="5" t="s">
        <v>16</v>
      </c>
      <c r="Q111" s="19"/>
      <c r="R111" s="17"/>
      <c r="U111" s="19"/>
      <c r="V111" s="17"/>
      <c r="Y111" s="19"/>
      <c r="Z111" s="17"/>
      <c r="AC111" s="19"/>
    </row>
    <row r="112" spans="2:29" x14ac:dyDescent="0.2">
      <c r="B112" s="5" t="s">
        <v>65</v>
      </c>
      <c r="C112" s="5" t="s">
        <v>15</v>
      </c>
      <c r="D112" s="5" t="s">
        <v>16</v>
      </c>
      <c r="E112" s="5" t="s">
        <v>20</v>
      </c>
      <c r="F112" s="5" t="s">
        <v>160</v>
      </c>
      <c r="G112" s="5" t="s">
        <v>17</v>
      </c>
      <c r="H112" s="6">
        <v>24.0397716115116</v>
      </c>
      <c r="I112" s="28">
        <f>AVERAGE(H112:H114)</f>
        <v>23.971023498021868</v>
      </c>
      <c r="J112" s="28">
        <f>_xlfn.STDEV.S(H112:H114)</f>
        <v>0.11404594569231409</v>
      </c>
      <c r="N112" s="8">
        <v>0</v>
      </c>
      <c r="O112" s="9">
        <v>60</v>
      </c>
      <c r="P112" s="5" t="s">
        <v>16</v>
      </c>
      <c r="Q112" s="19"/>
      <c r="R112" s="17"/>
      <c r="U112" s="19"/>
      <c r="V112" s="17"/>
      <c r="Y112" s="19"/>
      <c r="Z112" s="17"/>
      <c r="AC112" s="19"/>
    </row>
    <row r="113" spans="2:29" x14ac:dyDescent="0.2">
      <c r="B113" s="5" t="s">
        <v>66</v>
      </c>
      <c r="C113" s="5" t="s">
        <v>15</v>
      </c>
      <c r="D113" s="5" t="s">
        <v>16</v>
      </c>
      <c r="E113" s="5" t="s">
        <v>20</v>
      </c>
      <c r="F113" s="5" t="s">
        <v>160</v>
      </c>
      <c r="G113" s="5" t="s">
        <v>18</v>
      </c>
      <c r="H113" s="6">
        <v>23.839377912053099</v>
      </c>
      <c r="I113" s="28"/>
      <c r="J113" s="28"/>
      <c r="N113" s="8">
        <v>0</v>
      </c>
      <c r="O113" s="9">
        <v>60</v>
      </c>
      <c r="P113" s="5" t="s">
        <v>16</v>
      </c>
      <c r="Q113" s="19"/>
      <c r="R113" s="17"/>
      <c r="U113" s="19"/>
      <c r="V113" s="17"/>
      <c r="Y113" s="19"/>
      <c r="Z113" s="17"/>
      <c r="AC113" s="19"/>
    </row>
    <row r="114" spans="2:29" x14ac:dyDescent="0.2">
      <c r="B114" s="5" t="s">
        <v>67</v>
      </c>
      <c r="C114" s="5" t="s">
        <v>15</v>
      </c>
      <c r="D114" s="5" t="s">
        <v>16</v>
      </c>
      <c r="E114" s="5" t="s">
        <v>20</v>
      </c>
      <c r="F114" s="5" t="s">
        <v>160</v>
      </c>
      <c r="G114" s="5" t="s">
        <v>19</v>
      </c>
      <c r="H114" s="6">
        <v>24.033920970500901</v>
      </c>
      <c r="I114" s="28"/>
      <c r="J114" s="28"/>
      <c r="N114" s="8">
        <v>0</v>
      </c>
      <c r="O114" s="9">
        <v>60</v>
      </c>
      <c r="P114" s="5" t="s">
        <v>16</v>
      </c>
      <c r="Q114" s="19"/>
      <c r="R114" s="17"/>
      <c r="U114" s="19"/>
      <c r="V114" s="17"/>
      <c r="Y114" s="19"/>
      <c r="Z114" s="17"/>
      <c r="AC114" s="19"/>
    </row>
    <row r="115" spans="2:29" x14ac:dyDescent="0.2">
      <c r="B115" s="10"/>
      <c r="C115" s="10"/>
      <c r="D115" s="10"/>
      <c r="E115" s="10"/>
      <c r="F115" s="10"/>
      <c r="H115" s="28"/>
      <c r="I115" s="28"/>
      <c r="J115" s="28"/>
      <c r="N115" s="8">
        <v>0</v>
      </c>
      <c r="O115" s="9">
        <v>60</v>
      </c>
      <c r="P115" s="5" t="s">
        <v>16</v>
      </c>
      <c r="Q115" s="19"/>
      <c r="R115" s="17"/>
      <c r="U115" s="19"/>
      <c r="V115" s="17"/>
      <c r="Y115" s="19"/>
      <c r="Z115" s="17"/>
      <c r="AC115" s="19"/>
    </row>
    <row r="116" spans="2:29" x14ac:dyDescent="0.2">
      <c r="B116" s="5" t="s">
        <v>68</v>
      </c>
      <c r="C116" s="5" t="s">
        <v>15</v>
      </c>
      <c r="D116" s="5" t="s">
        <v>16</v>
      </c>
      <c r="E116" s="5" t="s">
        <v>20</v>
      </c>
      <c r="F116" s="5" t="s">
        <v>161</v>
      </c>
      <c r="G116" s="5" t="s">
        <v>17</v>
      </c>
      <c r="H116" s="6">
        <v>23.766751444412201</v>
      </c>
      <c r="I116" s="28">
        <f>AVERAGE(H116:H118)</f>
        <v>23.811685626740967</v>
      </c>
      <c r="J116" s="28">
        <f>_xlfn.STDEV.S(H116:H118)</f>
        <v>7.114657595166933E-2</v>
      </c>
      <c r="N116" s="8">
        <v>0</v>
      </c>
      <c r="O116" s="9">
        <v>60</v>
      </c>
      <c r="P116" s="5" t="s">
        <v>16</v>
      </c>
      <c r="Q116" s="19"/>
      <c r="R116" s="17"/>
      <c r="U116" s="19"/>
      <c r="V116" s="17"/>
      <c r="Y116" s="19"/>
      <c r="Z116" s="17"/>
      <c r="AC116" s="19"/>
    </row>
    <row r="117" spans="2:29" x14ac:dyDescent="0.2">
      <c r="B117" s="5" t="s">
        <v>69</v>
      </c>
      <c r="C117" s="5" t="s">
        <v>15</v>
      </c>
      <c r="D117" s="5" t="s">
        <v>16</v>
      </c>
      <c r="E117" s="5" t="s">
        <v>20</v>
      </c>
      <c r="F117" s="5" t="s">
        <v>161</v>
      </c>
      <c r="G117" s="5" t="s">
        <v>18</v>
      </c>
      <c r="H117" s="6">
        <v>23.893713818579201</v>
      </c>
      <c r="I117" s="28"/>
      <c r="J117" s="28"/>
      <c r="N117" s="8">
        <v>0</v>
      </c>
      <c r="O117" s="9">
        <v>60</v>
      </c>
      <c r="P117" s="5" t="s">
        <v>16</v>
      </c>
      <c r="Q117" s="19"/>
      <c r="R117" s="17"/>
      <c r="U117" s="19"/>
      <c r="V117" s="17"/>
      <c r="Y117" s="19"/>
      <c r="Z117" s="17"/>
      <c r="AC117" s="19"/>
    </row>
    <row r="118" spans="2:29" x14ac:dyDescent="0.2">
      <c r="B118" s="5" t="s">
        <v>70</v>
      </c>
      <c r="C118" s="5" t="s">
        <v>15</v>
      </c>
      <c r="D118" s="5" t="s">
        <v>16</v>
      </c>
      <c r="E118" s="5" t="s">
        <v>20</v>
      </c>
      <c r="F118" s="5" t="s">
        <v>161</v>
      </c>
      <c r="G118" s="5" t="s">
        <v>19</v>
      </c>
      <c r="H118" s="6">
        <v>23.774591617231501</v>
      </c>
      <c r="I118" s="28"/>
      <c r="J118" s="28"/>
      <c r="N118" s="8">
        <v>0</v>
      </c>
      <c r="O118" s="9">
        <v>60</v>
      </c>
      <c r="P118" s="5" t="s">
        <v>16</v>
      </c>
      <c r="Q118" s="19"/>
      <c r="R118" s="17"/>
      <c r="U118" s="19"/>
      <c r="V118" s="17"/>
      <c r="Y118" s="19"/>
      <c r="Z118" s="17"/>
      <c r="AC118" s="19"/>
    </row>
    <row r="119" spans="2:29" x14ac:dyDescent="0.2">
      <c r="C119" s="10"/>
      <c r="D119" s="10"/>
      <c r="E119" s="10"/>
      <c r="F119" s="10"/>
      <c r="H119" s="28"/>
      <c r="I119" s="28"/>
      <c r="J119" s="28"/>
      <c r="N119" s="8">
        <v>0</v>
      </c>
      <c r="O119" s="9">
        <v>60</v>
      </c>
      <c r="P119" s="5" t="s">
        <v>16</v>
      </c>
      <c r="Q119" s="19"/>
      <c r="R119" s="17"/>
      <c r="U119" s="19"/>
      <c r="V119" s="17"/>
      <c r="Y119" s="19"/>
      <c r="Z119" s="17"/>
      <c r="AC119" s="19"/>
    </row>
    <row r="120" spans="2:29" x14ac:dyDescent="0.2">
      <c r="B120" s="5" t="s">
        <v>71</v>
      </c>
      <c r="C120" s="5" t="s">
        <v>15</v>
      </c>
      <c r="D120" s="5" t="s">
        <v>16</v>
      </c>
      <c r="E120" s="5" t="s">
        <v>20</v>
      </c>
      <c r="F120" s="5" t="s">
        <v>162</v>
      </c>
      <c r="G120" s="5" t="s">
        <v>17</v>
      </c>
      <c r="H120" s="6">
        <v>21.5469335193694</v>
      </c>
      <c r="I120" s="28">
        <f>AVERAGE(H120:H122)</f>
        <v>21.597504607892233</v>
      </c>
      <c r="J120" s="28">
        <f>_xlfn.STDEV.S(H120:H122)</f>
        <v>7.2464917622265104E-2</v>
      </c>
      <c r="N120" s="8">
        <v>0</v>
      </c>
      <c r="O120" s="9">
        <v>60</v>
      </c>
      <c r="P120" s="5" t="s">
        <v>16</v>
      </c>
      <c r="Q120" s="19"/>
      <c r="R120" s="17"/>
      <c r="U120" s="19"/>
      <c r="V120" s="17"/>
      <c r="Y120" s="19"/>
      <c r="Z120" s="17"/>
      <c r="AC120" s="19"/>
    </row>
    <row r="121" spans="2:29" x14ac:dyDescent="0.2">
      <c r="B121" s="5" t="s">
        <v>72</v>
      </c>
      <c r="C121" s="5" t="s">
        <v>15</v>
      </c>
      <c r="D121" s="5" t="s">
        <v>16</v>
      </c>
      <c r="E121" s="5" t="s">
        <v>20</v>
      </c>
      <c r="F121" s="5" t="s">
        <v>162</v>
      </c>
      <c r="G121" s="5" t="s">
        <v>18</v>
      </c>
      <c r="H121" s="6">
        <v>21.565057249574501</v>
      </c>
      <c r="I121" s="28"/>
      <c r="J121" s="28"/>
      <c r="N121" s="8">
        <v>0</v>
      </c>
      <c r="O121" s="9">
        <v>60</v>
      </c>
      <c r="P121" s="5" t="s">
        <v>16</v>
      </c>
      <c r="Q121" s="19"/>
      <c r="R121" s="17"/>
      <c r="U121" s="19"/>
      <c r="V121" s="17"/>
      <c r="Y121" s="19"/>
      <c r="Z121" s="17"/>
      <c r="AC121" s="19"/>
    </row>
    <row r="122" spans="2:29" x14ac:dyDescent="0.2">
      <c r="B122" s="5" t="s">
        <v>73</v>
      </c>
      <c r="C122" s="5" t="s">
        <v>15</v>
      </c>
      <c r="D122" s="5" t="s">
        <v>16</v>
      </c>
      <c r="E122" s="5" t="s">
        <v>20</v>
      </c>
      <c r="F122" s="5" t="s">
        <v>162</v>
      </c>
      <c r="G122" s="5" t="s">
        <v>19</v>
      </c>
      <c r="H122" s="6">
        <v>21.680523054732799</v>
      </c>
      <c r="I122" s="28"/>
      <c r="J122" s="28"/>
      <c r="N122" s="8">
        <v>0</v>
      </c>
      <c r="O122" s="9">
        <v>60</v>
      </c>
      <c r="P122" s="5" t="s">
        <v>16</v>
      </c>
      <c r="Q122" s="19"/>
      <c r="R122" s="17"/>
      <c r="U122" s="19"/>
      <c r="V122" s="17"/>
      <c r="Y122" s="19"/>
      <c r="Z122" s="17"/>
      <c r="AC122" s="19"/>
    </row>
    <row r="123" spans="2:29" x14ac:dyDescent="0.2">
      <c r="H123" s="28"/>
      <c r="I123" s="28"/>
      <c r="J123" s="28"/>
      <c r="Q123" s="19"/>
      <c r="R123" s="17"/>
      <c r="U123" s="19"/>
      <c r="V123" s="17"/>
      <c r="Y123" s="19"/>
      <c r="Z123" s="17"/>
      <c r="AC123" s="19"/>
    </row>
    <row r="124" spans="2:29" x14ac:dyDescent="0.2">
      <c r="B124" s="5" t="s">
        <v>74</v>
      </c>
      <c r="C124" s="5" t="s">
        <v>15</v>
      </c>
      <c r="D124" s="5" t="s">
        <v>16</v>
      </c>
      <c r="E124" s="5" t="s">
        <v>20</v>
      </c>
      <c r="F124" s="5" t="s">
        <v>163</v>
      </c>
      <c r="G124" s="5" t="s">
        <v>17</v>
      </c>
      <c r="H124" s="6">
        <v>24.098492442419701</v>
      </c>
      <c r="I124" s="28">
        <f>AVERAGE(H124:H126)</f>
        <v>24.071308072619232</v>
      </c>
      <c r="J124" s="28">
        <f>_xlfn.STDEV.S(H124:H126)</f>
        <v>4.0585599117959635E-2</v>
      </c>
      <c r="N124" s="8">
        <v>0</v>
      </c>
      <c r="O124" s="9">
        <v>60</v>
      </c>
      <c r="P124" s="5" t="s">
        <v>16</v>
      </c>
      <c r="Q124" s="19"/>
      <c r="R124" s="17"/>
      <c r="U124" s="19"/>
      <c r="V124" s="17"/>
      <c r="Y124" s="19"/>
      <c r="Z124" s="17"/>
      <c r="AC124" s="19"/>
    </row>
    <row r="125" spans="2:29" x14ac:dyDescent="0.2">
      <c r="B125" s="5" t="s">
        <v>75</v>
      </c>
      <c r="C125" s="5" t="s">
        <v>15</v>
      </c>
      <c r="D125" s="5" t="s">
        <v>16</v>
      </c>
      <c r="E125" s="5" t="s">
        <v>20</v>
      </c>
      <c r="F125" s="5" t="s">
        <v>163</v>
      </c>
      <c r="G125" s="5" t="s">
        <v>18</v>
      </c>
      <c r="H125" s="6">
        <v>24.024656117836599</v>
      </c>
      <c r="I125" s="28"/>
      <c r="J125" s="28"/>
      <c r="N125" s="8">
        <v>0</v>
      </c>
      <c r="O125" s="9">
        <v>60</v>
      </c>
      <c r="P125" s="5" t="s">
        <v>16</v>
      </c>
      <c r="Q125" s="19"/>
      <c r="R125" s="17"/>
      <c r="U125" s="19"/>
      <c r="V125" s="17"/>
      <c r="Y125" s="19"/>
      <c r="Z125" s="17"/>
      <c r="AC125" s="19"/>
    </row>
    <row r="126" spans="2:29" x14ac:dyDescent="0.2">
      <c r="B126" s="5" t="s">
        <v>76</v>
      </c>
      <c r="C126" s="5" t="s">
        <v>15</v>
      </c>
      <c r="D126" s="5" t="s">
        <v>16</v>
      </c>
      <c r="E126" s="5" t="s">
        <v>20</v>
      </c>
      <c r="F126" s="5" t="s">
        <v>163</v>
      </c>
      <c r="G126" s="5" t="s">
        <v>19</v>
      </c>
      <c r="H126" s="6">
        <v>24.090775657601402</v>
      </c>
      <c r="I126" s="28"/>
      <c r="J126" s="28"/>
      <c r="N126" s="8">
        <v>0</v>
      </c>
      <c r="O126" s="9">
        <v>60</v>
      </c>
      <c r="P126" s="5" t="s">
        <v>16</v>
      </c>
      <c r="Q126" s="19"/>
      <c r="R126" s="17"/>
      <c r="U126" s="19"/>
      <c r="V126" s="17"/>
      <c r="Y126" s="19"/>
      <c r="Z126" s="17"/>
      <c r="AC126" s="19"/>
    </row>
    <row r="127" spans="2:29" x14ac:dyDescent="0.2">
      <c r="H127" s="28"/>
      <c r="I127" s="28"/>
      <c r="J127" s="28"/>
      <c r="Q127" s="19"/>
      <c r="R127" s="17"/>
      <c r="U127" s="19"/>
      <c r="V127" s="17"/>
      <c r="Y127" s="19"/>
      <c r="Z127" s="17"/>
      <c r="AC127" s="19"/>
    </row>
    <row r="128" spans="2:29" x14ac:dyDescent="0.2">
      <c r="B128" s="5" t="s">
        <v>313</v>
      </c>
      <c r="C128" s="5" t="s">
        <v>15</v>
      </c>
      <c r="D128" s="5" t="s">
        <v>16</v>
      </c>
      <c r="E128" s="5" t="s">
        <v>20</v>
      </c>
      <c r="F128" s="5" t="s">
        <v>164</v>
      </c>
      <c r="G128" s="5" t="s">
        <v>17</v>
      </c>
      <c r="H128" s="6">
        <v>23.865946362627898</v>
      </c>
      <c r="I128" s="28">
        <f>AVERAGE(H128:H130)</f>
        <v>24.071629569178835</v>
      </c>
      <c r="J128" s="28">
        <f>_xlfn.STDEV.S(H128:H130)</f>
        <v>0.1787841929259969</v>
      </c>
      <c r="N128" s="8">
        <v>0</v>
      </c>
      <c r="O128" s="9">
        <v>60</v>
      </c>
      <c r="P128" s="5" t="s">
        <v>16</v>
      </c>
      <c r="Q128" s="19"/>
      <c r="R128" s="17"/>
      <c r="U128" s="19"/>
      <c r="V128" s="17"/>
      <c r="Y128" s="19"/>
      <c r="Z128" s="17"/>
      <c r="AC128" s="19"/>
    </row>
    <row r="129" spans="2:29" x14ac:dyDescent="0.2">
      <c r="B129" s="5" t="s">
        <v>314</v>
      </c>
      <c r="C129" s="5" t="s">
        <v>15</v>
      </c>
      <c r="D129" s="5" t="s">
        <v>16</v>
      </c>
      <c r="E129" s="5" t="s">
        <v>20</v>
      </c>
      <c r="F129" s="5" t="s">
        <v>164</v>
      </c>
      <c r="G129" s="5" t="s">
        <v>18</v>
      </c>
      <c r="H129" s="6">
        <v>24.159154464342102</v>
      </c>
      <c r="I129" s="28"/>
      <c r="J129" s="28"/>
      <c r="N129" s="8">
        <v>0</v>
      </c>
      <c r="O129" s="9">
        <v>60</v>
      </c>
      <c r="P129" s="5" t="s">
        <v>16</v>
      </c>
      <c r="Q129" s="19"/>
      <c r="R129" s="17"/>
      <c r="U129" s="19"/>
      <c r="V129" s="17"/>
      <c r="Y129" s="19"/>
      <c r="Z129" s="17"/>
      <c r="AC129" s="19"/>
    </row>
    <row r="130" spans="2:29" x14ac:dyDescent="0.2">
      <c r="B130" s="5" t="s">
        <v>315</v>
      </c>
      <c r="C130" s="5" t="s">
        <v>15</v>
      </c>
      <c r="D130" s="5" t="s">
        <v>16</v>
      </c>
      <c r="E130" s="5" t="s">
        <v>20</v>
      </c>
      <c r="F130" s="5" t="s">
        <v>164</v>
      </c>
      <c r="G130" s="5" t="s">
        <v>19</v>
      </c>
      <c r="H130" s="6">
        <v>24.189787880566499</v>
      </c>
      <c r="I130" s="28"/>
      <c r="J130" s="28"/>
      <c r="N130" s="8">
        <v>0</v>
      </c>
      <c r="O130" s="9">
        <v>60</v>
      </c>
      <c r="P130" s="5" t="s">
        <v>16</v>
      </c>
      <c r="Q130" s="19"/>
      <c r="R130" s="17"/>
      <c r="U130" s="19"/>
      <c r="V130" s="17"/>
      <c r="Y130" s="19"/>
      <c r="Z130" s="17"/>
      <c r="AC130" s="19"/>
    </row>
    <row r="131" spans="2:29" x14ac:dyDescent="0.2">
      <c r="H131" s="28"/>
      <c r="I131" s="28"/>
      <c r="J131" s="28"/>
      <c r="Q131" s="19"/>
      <c r="R131" s="17"/>
      <c r="U131" s="19"/>
      <c r="V131" s="17"/>
      <c r="Y131" s="19"/>
      <c r="Z131" s="17"/>
      <c r="AC131" s="19"/>
    </row>
    <row r="132" spans="2:29" x14ac:dyDescent="0.2">
      <c r="B132" s="5" t="s">
        <v>316</v>
      </c>
      <c r="C132" s="5" t="s">
        <v>15</v>
      </c>
      <c r="D132" s="5" t="s">
        <v>16</v>
      </c>
      <c r="E132" s="5" t="s">
        <v>20</v>
      </c>
      <c r="F132" s="5" t="s">
        <v>165</v>
      </c>
      <c r="G132" s="5" t="s">
        <v>17</v>
      </c>
      <c r="H132" s="6">
        <v>23.025184888592999</v>
      </c>
      <c r="I132" s="28">
        <f>AVERAGE(H132:H134)</f>
        <v>23.107531593285369</v>
      </c>
      <c r="J132" s="28">
        <f>_xlfn.STDEV.S(H132:H134)</f>
        <v>0.15495432631011069</v>
      </c>
      <c r="N132" s="8">
        <v>0</v>
      </c>
      <c r="O132" s="9">
        <v>60</v>
      </c>
      <c r="P132" s="5" t="s">
        <v>16</v>
      </c>
      <c r="Q132" s="19"/>
      <c r="R132" s="17"/>
      <c r="U132" s="19"/>
      <c r="V132" s="17"/>
      <c r="Y132" s="19"/>
      <c r="Z132" s="17"/>
      <c r="AC132" s="19"/>
    </row>
    <row r="133" spans="2:29" x14ac:dyDescent="0.2">
      <c r="B133" s="5" t="s">
        <v>317</v>
      </c>
      <c r="C133" s="5" t="s">
        <v>15</v>
      </c>
      <c r="D133" s="5" t="s">
        <v>16</v>
      </c>
      <c r="E133" s="5" t="s">
        <v>20</v>
      </c>
      <c r="F133" s="5" t="s">
        <v>165</v>
      </c>
      <c r="G133" s="5" t="s">
        <v>18</v>
      </c>
      <c r="H133" s="6">
        <v>23.011136386680199</v>
      </c>
      <c r="I133" s="28"/>
      <c r="J133" s="28"/>
      <c r="N133" s="8">
        <v>0</v>
      </c>
      <c r="O133" s="9">
        <v>60</v>
      </c>
      <c r="P133" s="5" t="s">
        <v>16</v>
      </c>
      <c r="Q133" s="19"/>
      <c r="R133" s="17"/>
      <c r="U133" s="19"/>
      <c r="V133" s="17"/>
      <c r="Y133" s="19"/>
      <c r="Z133" s="17"/>
      <c r="AC133" s="19"/>
    </row>
    <row r="134" spans="2:29" x14ac:dyDescent="0.2">
      <c r="B134" s="5" t="s">
        <v>318</v>
      </c>
      <c r="C134" s="5" t="s">
        <v>15</v>
      </c>
      <c r="D134" s="5" t="s">
        <v>16</v>
      </c>
      <c r="E134" s="5" t="s">
        <v>20</v>
      </c>
      <c r="F134" s="5" t="s">
        <v>165</v>
      </c>
      <c r="G134" s="5" t="s">
        <v>19</v>
      </c>
      <c r="H134" s="6">
        <v>23.286273504582901</v>
      </c>
      <c r="I134" s="28"/>
      <c r="J134" s="28"/>
      <c r="N134" s="8">
        <v>0</v>
      </c>
      <c r="O134" s="9">
        <v>60</v>
      </c>
      <c r="P134" s="5" t="s">
        <v>16</v>
      </c>
      <c r="Q134" s="19"/>
      <c r="R134" s="17"/>
      <c r="U134" s="19"/>
      <c r="V134" s="17"/>
      <c r="Y134" s="19"/>
      <c r="Z134" s="17"/>
      <c r="AC134" s="19"/>
    </row>
    <row r="135" spans="2:29" x14ac:dyDescent="0.2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</sheetData>
  <conditionalFormatting sqref="R2:R30">
    <cfRule type="cellIs" dxfId="44" priority="8" operator="greaterThanOrEqual">
      <formula>1</formula>
    </cfRule>
    <cfRule type="cellIs" dxfId="43" priority="6" operator="between">
      <formula>0.0001</formula>
      <formula>0.9</formula>
    </cfRule>
    <cfRule type="cellIs" dxfId="42" priority="3" operator="between">
      <formula>0.9</formula>
      <formula>1</formula>
    </cfRule>
  </conditionalFormatting>
  <conditionalFormatting sqref="V2:V30">
    <cfRule type="cellIs" dxfId="41" priority="4" operator="between">
      <formula>0.0001</formula>
      <formula>0.9</formula>
    </cfRule>
    <cfRule type="cellIs" dxfId="40" priority="9" operator="greaterThanOrEqual">
      <formula>1</formula>
    </cfRule>
    <cfRule type="cellIs" dxfId="39" priority="1" operator="between">
      <formula>0.9</formula>
      <formula>1</formula>
    </cfRule>
  </conditionalFormatting>
  <conditionalFormatting sqref="Z2:Z30">
    <cfRule type="cellIs" dxfId="38" priority="2" operator="between">
      <formula>0.9</formula>
      <formula>1</formula>
    </cfRule>
    <cfRule type="cellIs" dxfId="37" priority="7" operator="greaterThanOrEqual">
      <formula>1</formula>
    </cfRule>
    <cfRule type="cellIs" dxfId="36" priority="5" operator="between">
      <formula>0.0001</formula>
      <formula>0.9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22E9-D7C3-0947-84AE-08D071954024}">
  <dimension ref="A1:AC135"/>
  <sheetViews>
    <sheetView workbookViewId="0">
      <selection activeCell="J32" sqref="J32"/>
    </sheetView>
  </sheetViews>
  <sheetFormatPr baseColWidth="10" defaultColWidth="6.6640625" defaultRowHeight="16" x14ac:dyDescent="0.2"/>
  <cols>
    <col min="1" max="1" width="1" style="4" customWidth="1"/>
    <col min="2" max="3" width="6.6640625" style="5"/>
    <col min="4" max="4" width="8.83203125" style="5" customWidth="1"/>
    <col min="5" max="5" width="8.33203125" style="5" bestFit="1" customWidth="1"/>
    <col min="6" max="6" width="16.33203125" style="5" bestFit="1" customWidth="1"/>
    <col min="7" max="7" width="20.1640625" style="5" bestFit="1" customWidth="1"/>
    <col min="8" max="8" width="10" style="6" customWidth="1"/>
    <col min="9" max="9" width="8.83203125" style="6" customWidth="1"/>
    <col min="10" max="10" width="10" style="7" customWidth="1"/>
    <col min="11" max="11" width="12.1640625" style="8" hidden="1" customWidth="1"/>
    <col min="12" max="12" width="12.1640625" style="7" hidden="1" customWidth="1"/>
    <col min="13" max="14" width="12.1640625" style="8" hidden="1" customWidth="1"/>
    <col min="15" max="15" width="6.6640625" style="9" hidden="1" customWidth="1"/>
    <col min="16" max="16" width="12.1640625" style="5" hidden="1" customWidth="1"/>
    <col min="17" max="17" width="3.5" style="10" customWidth="1"/>
    <col min="18" max="18" width="11.83203125" style="10" customWidth="1"/>
    <col min="19" max="19" width="14.83203125" style="10" customWidth="1"/>
    <col min="20" max="20" width="18.5" style="10" customWidth="1"/>
    <col min="21" max="21" width="3.5" style="10" customWidth="1"/>
    <col min="22" max="22" width="11.83203125" style="10" customWidth="1"/>
    <col min="23" max="23" width="15.33203125" style="10" customWidth="1"/>
    <col min="24" max="24" width="19.33203125" style="10" customWidth="1"/>
    <col min="25" max="25" width="3.5" style="10" customWidth="1"/>
    <col min="26" max="26" width="11.83203125" style="10" customWidth="1"/>
    <col min="27" max="27" width="15.5" style="10" customWidth="1"/>
    <col min="28" max="28" width="18.83203125" style="10" customWidth="1"/>
    <col min="29" max="29" width="3.5" style="10" customWidth="1"/>
    <col min="30" max="16384" width="6.6640625" style="10"/>
  </cols>
  <sheetData>
    <row r="1" spans="1:29" s="3" customFormat="1" ht="30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8"/>
      <c r="R1" s="15" t="s">
        <v>101</v>
      </c>
      <c r="S1" s="2" t="s">
        <v>102</v>
      </c>
      <c r="T1" s="2" t="s">
        <v>103</v>
      </c>
      <c r="U1" s="22"/>
      <c r="V1" s="15" t="s">
        <v>104</v>
      </c>
      <c r="W1" s="2" t="s">
        <v>105</v>
      </c>
      <c r="X1" s="2" t="s">
        <v>106</v>
      </c>
      <c r="Y1" s="22"/>
      <c r="Z1" s="15" t="s">
        <v>107</v>
      </c>
      <c r="AA1" s="2" t="s">
        <v>108</v>
      </c>
      <c r="AB1" s="2" t="s">
        <v>109</v>
      </c>
      <c r="AC1" s="18"/>
    </row>
    <row r="2" spans="1:29" ht="15" customHeight="1" x14ac:dyDescent="0.25">
      <c r="B2" s="5" t="s">
        <v>274</v>
      </c>
      <c r="C2" s="5" t="s">
        <v>15</v>
      </c>
      <c r="D2" s="5" t="s">
        <v>16</v>
      </c>
      <c r="E2" s="5" t="s">
        <v>20</v>
      </c>
      <c r="F2" s="5" t="s">
        <v>267</v>
      </c>
      <c r="G2" s="5" t="s">
        <v>17</v>
      </c>
      <c r="H2" s="6">
        <v>22.2637515069705</v>
      </c>
      <c r="I2" s="28">
        <f>AVERAGE(H2:H4)</f>
        <v>22.404986171071062</v>
      </c>
      <c r="J2" s="28">
        <f>_xlfn.STDEV.S(H2:H4)</f>
        <v>0.13570957696933397</v>
      </c>
      <c r="Q2" s="19"/>
      <c r="R2" s="31">
        <f>I2/I36</f>
        <v>1.0193222304164267</v>
      </c>
      <c r="S2" s="32">
        <f>I2-I36</f>
        <v>0.42470799944922888</v>
      </c>
      <c r="T2" s="32">
        <f>POWER(2,S2)</f>
        <v>1.3423007944646979</v>
      </c>
      <c r="U2" s="33"/>
      <c r="V2" s="31">
        <f>I2/I70</f>
        <v>1.0790642037016662</v>
      </c>
      <c r="W2" s="32">
        <f>I2-I70</f>
        <v>1.6416376194166951</v>
      </c>
      <c r="X2" s="32">
        <f>POWER(2,W2)</f>
        <v>3.1201980812922931</v>
      </c>
      <c r="Y2" s="33"/>
      <c r="Z2" s="31">
        <f>I2/I104</f>
        <v>1.0701669644516374</v>
      </c>
      <c r="AA2" s="32">
        <f>I2-I104</f>
        <v>1.4690136403252936</v>
      </c>
      <c r="AB2" s="32">
        <f>POWER(2,AA2)</f>
        <v>2.7683256058141064</v>
      </c>
      <c r="AC2" s="19"/>
    </row>
    <row r="3" spans="1:29" ht="15" customHeight="1" x14ac:dyDescent="0.25">
      <c r="B3" s="5" t="s">
        <v>275</v>
      </c>
      <c r="C3" s="5" t="s">
        <v>15</v>
      </c>
      <c r="D3" s="5" t="s">
        <v>16</v>
      </c>
      <c r="E3" s="5" t="s">
        <v>20</v>
      </c>
      <c r="F3" s="5" t="s">
        <v>267</v>
      </c>
      <c r="G3" s="5" t="s">
        <v>18</v>
      </c>
      <c r="H3" s="6">
        <v>22.416810080670398</v>
      </c>
      <c r="I3" s="28"/>
      <c r="J3" s="28"/>
      <c r="Q3" s="19"/>
      <c r="R3" s="31"/>
      <c r="S3" s="32"/>
      <c r="T3" s="32"/>
      <c r="U3" s="33"/>
      <c r="V3" s="31"/>
      <c r="W3" s="32"/>
      <c r="X3" s="32"/>
      <c r="Y3" s="33"/>
      <c r="Z3" s="31"/>
      <c r="AA3" s="32"/>
      <c r="AB3" s="32"/>
      <c r="AC3" s="19"/>
    </row>
    <row r="4" spans="1:29" ht="15" customHeight="1" x14ac:dyDescent="0.25">
      <c r="B4" s="5" t="s">
        <v>276</v>
      </c>
      <c r="C4" s="5" t="s">
        <v>15</v>
      </c>
      <c r="D4" s="5" t="s">
        <v>16</v>
      </c>
      <c r="E4" s="5" t="s">
        <v>20</v>
      </c>
      <c r="F4" s="5" t="s">
        <v>267</v>
      </c>
      <c r="G4" s="5" t="s">
        <v>19</v>
      </c>
      <c r="H4" s="6">
        <v>22.534396925572299</v>
      </c>
      <c r="I4" s="28"/>
      <c r="J4" s="28"/>
      <c r="Q4" s="19"/>
      <c r="R4" s="31"/>
      <c r="S4" s="32"/>
      <c r="T4" s="32"/>
      <c r="U4" s="33"/>
      <c r="V4" s="31"/>
      <c r="W4" s="32"/>
      <c r="X4" s="32"/>
      <c r="Y4" s="33"/>
      <c r="Z4" s="31"/>
      <c r="AA4" s="32"/>
      <c r="AB4" s="32"/>
      <c r="AC4" s="19"/>
    </row>
    <row r="5" spans="1:29" ht="15" customHeight="1" x14ac:dyDescent="0.25">
      <c r="H5" s="28"/>
      <c r="I5" s="28"/>
      <c r="J5" s="28"/>
      <c r="Q5" s="19"/>
      <c r="R5" s="31"/>
      <c r="S5" s="32"/>
      <c r="T5" s="32"/>
      <c r="U5" s="33"/>
      <c r="V5" s="31"/>
      <c r="W5" s="32"/>
      <c r="X5" s="32"/>
      <c r="Y5" s="33"/>
      <c r="Z5" s="31"/>
      <c r="AA5" s="32"/>
      <c r="AB5" s="32"/>
      <c r="AC5" s="19"/>
    </row>
    <row r="6" spans="1:29" ht="15" customHeight="1" x14ac:dyDescent="0.25">
      <c r="B6" s="5" t="s">
        <v>280</v>
      </c>
      <c r="C6" s="5" t="s">
        <v>15</v>
      </c>
      <c r="D6" s="5" t="s">
        <v>16</v>
      </c>
      <c r="E6" s="5" t="s">
        <v>20</v>
      </c>
      <c r="F6" s="5" t="s">
        <v>231</v>
      </c>
      <c r="G6" s="5" t="s">
        <v>17</v>
      </c>
      <c r="H6" s="6">
        <v>25.4436878169818</v>
      </c>
      <c r="I6" s="28">
        <f>AVERAGE(H6:H8)</f>
        <v>25.574738820028699</v>
      </c>
      <c r="J6" s="28">
        <f>_xlfn.STDEV.S(H6:H8)</f>
        <v>0.26200057419341671</v>
      </c>
      <c r="Q6" s="19"/>
      <c r="R6" s="31">
        <f>I6/I40</f>
        <v>1.009729934631336</v>
      </c>
      <c r="S6" s="32">
        <f>I6-I40</f>
        <v>0.24644266590276587</v>
      </c>
      <c r="T6" s="32">
        <f t="shared" ref="T6:T30" si="0">POWER(2,S6)</f>
        <v>1.1862784324971989</v>
      </c>
      <c r="U6" s="33"/>
      <c r="V6" s="31">
        <f>I6/I74</f>
        <v>1.0543385524266333</v>
      </c>
      <c r="W6" s="32">
        <f>I6-I74</f>
        <v>1.318072153362035</v>
      </c>
      <c r="X6" s="32">
        <f>POWER(2,W6)</f>
        <v>2.4933270839487558</v>
      </c>
      <c r="Y6" s="33"/>
      <c r="Z6" s="31">
        <f>I6/I108</f>
        <v>1.03648734819424</v>
      </c>
      <c r="AA6" s="32">
        <f>I6-I108</f>
        <v>0.90030467031639816</v>
      </c>
      <c r="AB6" s="32">
        <f t="shared" ref="AB6" si="1">POWER(2,AA6)</f>
        <v>1.86646010305988</v>
      </c>
      <c r="AC6" s="19"/>
    </row>
    <row r="7" spans="1:29" ht="15" customHeight="1" x14ac:dyDescent="0.25">
      <c r="B7" s="5" t="s">
        <v>281</v>
      </c>
      <c r="C7" s="5" t="s">
        <v>15</v>
      </c>
      <c r="D7" s="5" t="s">
        <v>16</v>
      </c>
      <c r="E7" s="5" t="s">
        <v>20</v>
      </c>
      <c r="F7" s="5" t="s">
        <v>231</v>
      </c>
      <c r="G7" s="5" t="s">
        <v>18</v>
      </c>
      <c r="H7" s="6">
        <v>25.404121299576101</v>
      </c>
      <c r="I7" s="28"/>
      <c r="J7" s="28"/>
      <c r="Q7" s="19"/>
      <c r="R7" s="31"/>
      <c r="S7" s="32"/>
      <c r="T7" s="32"/>
      <c r="U7" s="33"/>
      <c r="V7" s="31"/>
      <c r="W7" s="32"/>
      <c r="X7" s="32"/>
      <c r="Y7" s="33"/>
      <c r="Z7" s="31"/>
      <c r="AA7" s="32"/>
      <c r="AB7" s="32"/>
      <c r="AC7" s="19"/>
    </row>
    <row r="8" spans="1:29" ht="15" customHeight="1" x14ac:dyDescent="0.25">
      <c r="B8" s="5" t="s">
        <v>282</v>
      </c>
      <c r="C8" s="5" t="s">
        <v>15</v>
      </c>
      <c r="D8" s="5" t="s">
        <v>16</v>
      </c>
      <c r="E8" s="5" t="s">
        <v>20</v>
      </c>
      <c r="F8" s="5" t="s">
        <v>231</v>
      </c>
      <c r="G8" s="5" t="s">
        <v>19</v>
      </c>
      <c r="H8" s="6">
        <v>25.8764073435282</v>
      </c>
      <c r="I8" s="28"/>
      <c r="J8" s="28"/>
      <c r="Q8" s="19"/>
      <c r="R8" s="31"/>
      <c r="S8" s="32"/>
      <c r="T8" s="32"/>
      <c r="U8" s="33"/>
      <c r="V8" s="31"/>
      <c r="W8" s="32"/>
      <c r="X8" s="32"/>
      <c r="Y8" s="33"/>
      <c r="Z8" s="31"/>
      <c r="AA8" s="32"/>
      <c r="AB8" s="32"/>
      <c r="AC8" s="19"/>
    </row>
    <row r="9" spans="1:29" ht="15" customHeight="1" x14ac:dyDescent="0.25">
      <c r="H9" s="28"/>
      <c r="I9" s="28"/>
      <c r="J9" s="28"/>
      <c r="Q9" s="19"/>
      <c r="R9" s="31"/>
      <c r="S9" s="32"/>
      <c r="T9" s="32"/>
      <c r="U9" s="33"/>
      <c r="V9" s="31"/>
      <c r="W9" s="32"/>
      <c r="X9" s="32"/>
      <c r="Y9" s="33"/>
      <c r="Z9" s="31"/>
      <c r="AA9" s="32"/>
      <c r="AB9" s="32"/>
      <c r="AC9" s="19"/>
    </row>
    <row r="10" spans="1:29" ht="15" customHeight="1" x14ac:dyDescent="0.25">
      <c r="B10" s="5" t="s">
        <v>283</v>
      </c>
      <c r="C10" s="5" t="s">
        <v>15</v>
      </c>
      <c r="D10" s="5" t="s">
        <v>16</v>
      </c>
      <c r="E10" s="5" t="s">
        <v>20</v>
      </c>
      <c r="F10" s="5" t="s">
        <v>232</v>
      </c>
      <c r="G10" s="5" t="s">
        <v>17</v>
      </c>
      <c r="H10" s="6">
        <v>24.925780663421101</v>
      </c>
      <c r="I10" s="28">
        <f>AVERAGE(H10:H12)</f>
        <v>25.058338453099399</v>
      </c>
      <c r="J10" s="28">
        <f>_xlfn.STDEV.S(H10:H12)</f>
        <v>0.19650991182083288</v>
      </c>
      <c r="Q10" s="19"/>
      <c r="R10" s="31">
        <f>I10/I44</f>
        <v>1.0266940624306897</v>
      </c>
      <c r="S10" s="32">
        <f>I10-I44</f>
        <v>0.65151720999803331</v>
      </c>
      <c r="T10" s="32">
        <f t="shared" si="0"/>
        <v>1.5708192792923723</v>
      </c>
      <c r="U10" s="33"/>
      <c r="V10" s="31">
        <f>I10/I78</f>
        <v>1.0699197785289489</v>
      </c>
      <c r="W10" s="32">
        <f>I10-I78</f>
        <v>1.6375746201767676</v>
      </c>
      <c r="X10" s="32">
        <f t="shared" ref="X10" si="2">POWER(2,W10)</f>
        <v>3.1114231652718267</v>
      </c>
      <c r="Y10" s="33"/>
      <c r="Z10" s="31">
        <f>I10/I112</f>
        <v>1.0603009762445725</v>
      </c>
      <c r="AA10" s="32">
        <f>I10-I112</f>
        <v>1.4251069325057983</v>
      </c>
      <c r="AB10" s="32">
        <f t="shared" ref="AB10" si="3">POWER(2,AA10)</f>
        <v>2.6853440357900675</v>
      </c>
      <c r="AC10" s="19"/>
    </row>
    <row r="11" spans="1:29" ht="15" customHeight="1" x14ac:dyDescent="0.25">
      <c r="B11" s="5" t="s">
        <v>284</v>
      </c>
      <c r="C11" s="5" t="s">
        <v>15</v>
      </c>
      <c r="D11" s="5" t="s">
        <v>16</v>
      </c>
      <c r="E11" s="5" t="s">
        <v>20</v>
      </c>
      <c r="F11" s="5" t="s">
        <v>232</v>
      </c>
      <c r="G11" s="5" t="s">
        <v>18</v>
      </c>
      <c r="H11" s="6">
        <v>24.965126063723599</v>
      </c>
      <c r="I11" s="28"/>
      <c r="J11" s="28"/>
      <c r="N11" s="8">
        <v>0</v>
      </c>
      <c r="O11" s="9">
        <v>60</v>
      </c>
      <c r="P11" s="5" t="s">
        <v>16</v>
      </c>
      <c r="Q11" s="19"/>
      <c r="R11" s="31"/>
      <c r="S11" s="32"/>
      <c r="T11" s="32"/>
      <c r="U11" s="33"/>
      <c r="V11" s="31"/>
      <c r="W11" s="32"/>
      <c r="X11" s="32"/>
      <c r="Y11" s="33"/>
      <c r="Z11" s="31"/>
      <c r="AA11" s="32"/>
      <c r="AB11" s="32"/>
      <c r="AC11" s="19"/>
    </row>
    <row r="12" spans="1:29" ht="15" customHeight="1" x14ac:dyDescent="0.25">
      <c r="B12" s="5" t="s">
        <v>285</v>
      </c>
      <c r="C12" s="5" t="s">
        <v>15</v>
      </c>
      <c r="D12" s="5" t="s">
        <v>16</v>
      </c>
      <c r="E12" s="5" t="s">
        <v>20</v>
      </c>
      <c r="F12" s="5" t="s">
        <v>232</v>
      </c>
      <c r="G12" s="5" t="s">
        <v>19</v>
      </c>
      <c r="H12" s="6">
        <v>25.284108632153501</v>
      </c>
      <c r="I12" s="28"/>
      <c r="J12" s="28"/>
      <c r="N12" s="8">
        <v>0</v>
      </c>
      <c r="O12" s="9">
        <v>60</v>
      </c>
      <c r="P12" s="5" t="s">
        <v>16</v>
      </c>
      <c r="Q12" s="19"/>
      <c r="R12" s="31"/>
      <c r="S12" s="32"/>
      <c r="T12" s="32"/>
      <c r="U12" s="33"/>
      <c r="V12" s="31"/>
      <c r="W12" s="32"/>
      <c r="X12" s="32"/>
      <c r="Y12" s="33"/>
      <c r="Z12" s="31"/>
      <c r="AA12" s="32"/>
      <c r="AB12" s="32"/>
      <c r="AC12" s="19"/>
    </row>
    <row r="13" spans="1:29" ht="15" customHeight="1" x14ac:dyDescent="0.25">
      <c r="H13" s="28"/>
      <c r="I13" s="28"/>
      <c r="J13" s="28"/>
      <c r="N13" s="8">
        <v>0</v>
      </c>
      <c r="O13" s="9">
        <v>60</v>
      </c>
      <c r="P13" s="5" t="s">
        <v>16</v>
      </c>
      <c r="Q13" s="19"/>
      <c r="R13" s="31"/>
      <c r="S13" s="32"/>
      <c r="T13" s="32"/>
      <c r="U13" s="33"/>
      <c r="V13" s="31"/>
      <c r="W13" s="32"/>
      <c r="X13" s="32"/>
      <c r="Y13" s="33"/>
      <c r="Z13" s="31"/>
      <c r="AA13" s="32"/>
      <c r="AB13" s="32"/>
      <c r="AC13" s="19"/>
    </row>
    <row r="14" spans="1:29" ht="15" customHeight="1" x14ac:dyDescent="0.25">
      <c r="B14" s="5" t="s">
        <v>286</v>
      </c>
      <c r="C14" s="5" t="s">
        <v>15</v>
      </c>
      <c r="D14" s="5" t="s">
        <v>16</v>
      </c>
      <c r="E14" s="5" t="s">
        <v>20</v>
      </c>
      <c r="F14" s="5" t="s">
        <v>233</v>
      </c>
      <c r="G14" s="5" t="s">
        <v>17</v>
      </c>
      <c r="H14" s="6">
        <v>25.448971455273199</v>
      </c>
      <c r="I14" s="28">
        <f>AVERAGE(H14:H16)</f>
        <v>25.584014471460467</v>
      </c>
      <c r="J14" s="28">
        <f>_xlfn.STDEV.S(H14:H16)</f>
        <v>0.13496431288736427</v>
      </c>
      <c r="N14" s="8">
        <v>0</v>
      </c>
      <c r="O14" s="9">
        <v>60</v>
      </c>
      <c r="P14" s="5" t="s">
        <v>16</v>
      </c>
      <c r="Q14" s="19"/>
      <c r="R14" s="31">
        <f>I14/I48</f>
        <v>1.0195942169944843</v>
      </c>
      <c r="S14" s="32">
        <f>I14-I48</f>
        <v>0.49166494158973251</v>
      </c>
      <c r="T14" s="32">
        <f t="shared" si="0"/>
        <v>1.4060666103422044</v>
      </c>
      <c r="U14" s="33"/>
      <c r="V14" s="31">
        <f>I14/I82</f>
        <v>1.061699315807153</v>
      </c>
      <c r="W14" s="32">
        <f>I14-I82</f>
        <v>1.4867827123815687</v>
      </c>
      <c r="X14" s="32">
        <f t="shared" ref="X14" si="4">POWER(2,W14)</f>
        <v>2.8026327554067554</v>
      </c>
      <c r="Y14" s="33"/>
      <c r="Z14" s="31">
        <f>I14/I116</f>
        <v>1.0493471982413525</v>
      </c>
      <c r="AA14" s="32">
        <f>I14-I116</f>
        <v>1.203128417409097</v>
      </c>
      <c r="AB14" s="32">
        <f t="shared" ref="AB14" si="5">POWER(2,AA14)</f>
        <v>2.3023839137116484</v>
      </c>
      <c r="AC14" s="19"/>
    </row>
    <row r="15" spans="1:29" ht="15" customHeight="1" x14ac:dyDescent="0.25">
      <c r="B15" s="5" t="s">
        <v>287</v>
      </c>
      <c r="C15" s="5" t="s">
        <v>15</v>
      </c>
      <c r="D15" s="5" t="s">
        <v>16</v>
      </c>
      <c r="E15" s="5" t="s">
        <v>20</v>
      </c>
      <c r="F15" s="5" t="s">
        <v>233</v>
      </c>
      <c r="G15" s="5" t="s">
        <v>18</v>
      </c>
      <c r="H15" s="6">
        <v>25.5841720159872</v>
      </c>
      <c r="I15" s="28"/>
      <c r="J15" s="28"/>
      <c r="N15" s="8">
        <v>0</v>
      </c>
      <c r="O15" s="9">
        <v>60</v>
      </c>
      <c r="P15" s="5" t="s">
        <v>16</v>
      </c>
      <c r="Q15" s="19"/>
      <c r="R15" s="31"/>
      <c r="S15" s="32"/>
      <c r="T15" s="32"/>
      <c r="U15" s="33"/>
      <c r="V15" s="31"/>
      <c r="W15" s="32"/>
      <c r="X15" s="32"/>
      <c r="Y15" s="33"/>
      <c r="Z15" s="31"/>
      <c r="AA15" s="32"/>
      <c r="AB15" s="32"/>
      <c r="AC15" s="19"/>
    </row>
    <row r="16" spans="1:29" ht="15" customHeight="1" x14ac:dyDescent="0.25">
      <c r="B16" s="5" t="s">
        <v>288</v>
      </c>
      <c r="C16" s="5" t="s">
        <v>15</v>
      </c>
      <c r="D16" s="5" t="s">
        <v>16</v>
      </c>
      <c r="E16" s="5" t="s">
        <v>20</v>
      </c>
      <c r="F16" s="5" t="s">
        <v>233</v>
      </c>
      <c r="G16" s="5" t="s">
        <v>19</v>
      </c>
      <c r="H16" s="6">
        <v>25.718899943120999</v>
      </c>
      <c r="I16" s="28"/>
      <c r="J16" s="28"/>
      <c r="N16" s="8">
        <v>0</v>
      </c>
      <c r="O16" s="9">
        <v>60</v>
      </c>
      <c r="P16" s="5" t="s">
        <v>16</v>
      </c>
      <c r="Q16" s="19"/>
      <c r="R16" s="31"/>
      <c r="S16" s="32"/>
      <c r="T16" s="32"/>
      <c r="U16" s="33"/>
      <c r="V16" s="31"/>
      <c r="W16" s="32"/>
      <c r="X16" s="32"/>
      <c r="Y16" s="33"/>
      <c r="Z16" s="31"/>
      <c r="AA16" s="32"/>
      <c r="AB16" s="32"/>
      <c r="AC16" s="19"/>
    </row>
    <row r="17" spans="2:29" ht="15" customHeight="1" x14ac:dyDescent="0.25">
      <c r="H17" s="28"/>
      <c r="I17" s="28"/>
      <c r="J17" s="28"/>
      <c r="N17" s="8">
        <v>0</v>
      </c>
      <c r="O17" s="9">
        <v>60</v>
      </c>
      <c r="P17" s="5" t="s">
        <v>16</v>
      </c>
      <c r="Q17" s="19"/>
      <c r="R17" s="31"/>
      <c r="S17" s="32"/>
      <c r="T17" s="32"/>
      <c r="U17" s="33"/>
      <c r="V17" s="31"/>
      <c r="W17" s="32"/>
      <c r="X17" s="32"/>
      <c r="Y17" s="33"/>
      <c r="Z17" s="31"/>
      <c r="AA17" s="32"/>
      <c r="AB17" s="32"/>
      <c r="AC17" s="19"/>
    </row>
    <row r="18" spans="2:29" ht="15" customHeight="1" x14ac:dyDescent="0.25">
      <c r="B18" s="5" t="s">
        <v>289</v>
      </c>
      <c r="C18" s="5" t="s">
        <v>15</v>
      </c>
      <c r="D18" s="5" t="s">
        <v>16</v>
      </c>
      <c r="E18" s="5" t="s">
        <v>20</v>
      </c>
      <c r="F18" s="5" t="s">
        <v>234</v>
      </c>
      <c r="G18" s="5" t="s">
        <v>17</v>
      </c>
      <c r="H18" s="6">
        <v>24.462592044207199</v>
      </c>
      <c r="I18" s="28">
        <f>AVERAGE(H18:H20)</f>
        <v>24.464686668997661</v>
      </c>
      <c r="J18" s="28">
        <f>_xlfn.STDEV.S(H18:H20)</f>
        <v>8.6661434592392825E-2</v>
      </c>
      <c r="Q18" s="19"/>
      <c r="R18" s="31">
        <f>I18/I52</f>
        <v>1.0130727256329504</v>
      </c>
      <c r="S18" s="32">
        <f>I18-I52</f>
        <v>0.31569316637173017</v>
      </c>
      <c r="T18" s="32">
        <f t="shared" si="0"/>
        <v>1.2446095026065949</v>
      </c>
      <c r="U18" s="33"/>
      <c r="V18" s="31">
        <f>I18/I86</f>
        <v>1.0626403372521402</v>
      </c>
      <c r="W18" s="32">
        <f>I18-I86</f>
        <v>1.4421400825765289</v>
      </c>
      <c r="X18" s="32">
        <f t="shared" ref="X18" si="6">POWER(2,W18)</f>
        <v>2.7172363940819593</v>
      </c>
      <c r="Y18" s="33"/>
      <c r="Z18" s="31">
        <f>I18/I120</f>
        <v>1.0498692425884277</v>
      </c>
      <c r="AA18" s="32">
        <f>I18-I120</f>
        <v>1.1620831860338612</v>
      </c>
      <c r="AB18" s="32">
        <f t="shared" ref="AB18" si="7">POWER(2,AA18)</f>
        <v>2.2378032304546194</v>
      </c>
      <c r="AC18" s="19"/>
    </row>
    <row r="19" spans="2:29" ht="15" customHeight="1" x14ac:dyDescent="0.25">
      <c r="B19" s="5" t="s">
        <v>290</v>
      </c>
      <c r="C19" s="5" t="s">
        <v>15</v>
      </c>
      <c r="D19" s="5" t="s">
        <v>16</v>
      </c>
      <c r="E19" s="5" t="s">
        <v>20</v>
      </c>
      <c r="F19" s="5" t="s">
        <v>234</v>
      </c>
      <c r="G19" s="5" t="s">
        <v>18</v>
      </c>
      <c r="H19" s="6">
        <v>24.379091534198398</v>
      </c>
      <c r="I19" s="28"/>
      <c r="J19" s="28"/>
      <c r="Q19" s="19"/>
      <c r="R19" s="31"/>
      <c r="S19" s="32"/>
      <c r="T19" s="32"/>
      <c r="U19" s="33"/>
      <c r="V19" s="31"/>
      <c r="W19" s="32"/>
      <c r="X19" s="32"/>
      <c r="Y19" s="33"/>
      <c r="Z19" s="31"/>
      <c r="AA19" s="32"/>
      <c r="AB19" s="32"/>
      <c r="AC19" s="19"/>
    </row>
    <row r="20" spans="2:29" ht="15" customHeight="1" x14ac:dyDescent="0.25">
      <c r="B20" s="5" t="s">
        <v>291</v>
      </c>
      <c r="C20" s="5" t="s">
        <v>15</v>
      </c>
      <c r="D20" s="5" t="s">
        <v>16</v>
      </c>
      <c r="E20" s="5" t="s">
        <v>20</v>
      </c>
      <c r="F20" s="5" t="s">
        <v>234</v>
      </c>
      <c r="G20" s="5" t="s">
        <v>19</v>
      </c>
      <c r="H20" s="6">
        <v>24.552376428587401</v>
      </c>
      <c r="I20" s="28"/>
      <c r="J20" s="28"/>
      <c r="Q20" s="19"/>
      <c r="R20" s="31"/>
      <c r="S20" s="32"/>
      <c r="T20" s="32"/>
      <c r="U20" s="33"/>
      <c r="V20" s="31"/>
      <c r="W20" s="32"/>
      <c r="X20" s="32"/>
      <c r="Y20" s="33"/>
      <c r="Z20" s="31"/>
      <c r="AA20" s="32"/>
      <c r="AB20" s="32"/>
      <c r="AC20" s="19"/>
    </row>
    <row r="21" spans="2:29" ht="15" customHeight="1" x14ac:dyDescent="0.25">
      <c r="H21" s="28"/>
      <c r="I21" s="28"/>
      <c r="J21" s="28"/>
      <c r="N21" s="8">
        <v>0</v>
      </c>
      <c r="O21" s="9">
        <v>60</v>
      </c>
      <c r="P21" s="5" t="s">
        <v>16</v>
      </c>
      <c r="Q21" s="19"/>
      <c r="R21" s="31"/>
      <c r="S21" s="32"/>
      <c r="T21" s="32"/>
      <c r="U21" s="33"/>
      <c r="V21" s="31"/>
      <c r="W21" s="32"/>
      <c r="X21" s="32"/>
      <c r="Y21" s="33"/>
      <c r="Z21" s="31"/>
      <c r="AA21" s="32"/>
      <c r="AB21" s="32"/>
      <c r="AC21" s="19"/>
    </row>
    <row r="22" spans="2:29" ht="15" customHeight="1" x14ac:dyDescent="0.25">
      <c r="B22" s="5" t="s">
        <v>292</v>
      </c>
      <c r="C22" s="5" t="s">
        <v>15</v>
      </c>
      <c r="D22" s="5" t="s">
        <v>16</v>
      </c>
      <c r="E22" s="5" t="s">
        <v>20</v>
      </c>
      <c r="F22" s="5" t="s">
        <v>235</v>
      </c>
      <c r="G22" s="5" t="s">
        <v>17</v>
      </c>
      <c r="H22" s="6">
        <v>23.111009875724299</v>
      </c>
      <c r="I22" s="28">
        <f>AVERAGE(H22:H24)</f>
        <v>23.06169689997833</v>
      </c>
      <c r="J22" s="28">
        <f>_xlfn.STDEV.S(H22:H24)</f>
        <v>8.2976779500601783E-2</v>
      </c>
      <c r="Q22" s="19"/>
      <c r="R22" s="31">
        <f>I22/I56</f>
        <v>1.0149523748364884</v>
      </c>
      <c r="S22" s="32">
        <f>I22-I56</f>
        <v>0.33974711027156346</v>
      </c>
      <c r="T22" s="32">
        <f t="shared" si="0"/>
        <v>1.2655347391922238</v>
      </c>
      <c r="U22" s="33"/>
      <c r="V22" s="31">
        <f>I22/I90</f>
        <v>1.0713017312432411</v>
      </c>
      <c r="W22" s="32">
        <f>I22-I90</f>
        <v>1.534898027717265</v>
      </c>
      <c r="X22" s="32">
        <f t="shared" ref="X22" si="8">POWER(2,W22)</f>
        <v>2.8976794886684312</v>
      </c>
      <c r="Y22" s="33"/>
      <c r="Z22" s="31">
        <f>I22/I124</f>
        <v>1.0508340207708335</v>
      </c>
      <c r="AA22" s="32">
        <f>I22-I124</f>
        <v>1.1156079419318949</v>
      </c>
      <c r="AB22" s="32">
        <f t="shared" ref="AB22" si="9">POWER(2,AA22)</f>
        <v>2.1668630001031537</v>
      </c>
      <c r="AC22" s="19"/>
    </row>
    <row r="23" spans="2:29" ht="15" customHeight="1" x14ac:dyDescent="0.25">
      <c r="B23" s="5" t="s">
        <v>293</v>
      </c>
      <c r="C23" s="5" t="s">
        <v>15</v>
      </c>
      <c r="D23" s="5" t="s">
        <v>16</v>
      </c>
      <c r="E23" s="5" t="s">
        <v>20</v>
      </c>
      <c r="F23" s="5" t="s">
        <v>235</v>
      </c>
      <c r="G23" s="5" t="s">
        <v>18</v>
      </c>
      <c r="H23" s="6">
        <v>22.9658974661894</v>
      </c>
      <c r="I23" s="28"/>
      <c r="J23" s="28"/>
      <c r="Q23" s="19"/>
      <c r="R23" s="31"/>
      <c r="S23" s="32"/>
      <c r="T23" s="32"/>
      <c r="U23" s="33"/>
      <c r="V23" s="31"/>
      <c r="W23" s="32"/>
      <c r="X23" s="32"/>
      <c r="Y23" s="33"/>
      <c r="Z23" s="31"/>
      <c r="AA23" s="32"/>
      <c r="AB23" s="32"/>
      <c r="AC23" s="19"/>
    </row>
    <row r="24" spans="2:29" ht="15" customHeight="1" x14ac:dyDescent="0.25">
      <c r="B24" s="5" t="s">
        <v>294</v>
      </c>
      <c r="C24" s="5" t="s">
        <v>15</v>
      </c>
      <c r="D24" s="5" t="s">
        <v>16</v>
      </c>
      <c r="E24" s="5" t="s">
        <v>20</v>
      </c>
      <c r="F24" s="5" t="s">
        <v>235</v>
      </c>
      <c r="G24" s="5" t="s">
        <v>19</v>
      </c>
      <c r="H24" s="6">
        <v>23.1081833580213</v>
      </c>
      <c r="I24" s="28"/>
      <c r="J24" s="28"/>
      <c r="Q24" s="19"/>
      <c r="R24" s="31"/>
      <c r="S24" s="32"/>
      <c r="T24" s="32"/>
      <c r="U24" s="33"/>
      <c r="V24" s="31"/>
      <c r="W24" s="32"/>
      <c r="X24" s="32"/>
      <c r="Y24" s="33"/>
      <c r="Z24" s="31"/>
      <c r="AA24" s="32"/>
      <c r="AB24" s="32"/>
      <c r="AC24" s="19"/>
    </row>
    <row r="25" spans="2:29" ht="15" customHeight="1" x14ac:dyDescent="0.25">
      <c r="H25" s="28"/>
      <c r="I25" s="28"/>
      <c r="J25" s="28"/>
      <c r="Q25" s="19"/>
      <c r="R25" s="31"/>
      <c r="S25" s="32"/>
      <c r="T25" s="32"/>
      <c r="U25" s="33"/>
      <c r="V25" s="31"/>
      <c r="W25" s="32"/>
      <c r="X25" s="32"/>
      <c r="Y25" s="33"/>
      <c r="Z25" s="31"/>
      <c r="AA25" s="32"/>
      <c r="AB25" s="32"/>
      <c r="AC25" s="19"/>
    </row>
    <row r="26" spans="2:29" ht="15" customHeight="1" x14ac:dyDescent="0.25">
      <c r="B26" s="5" t="s">
        <v>295</v>
      </c>
      <c r="C26" s="5" t="s">
        <v>15</v>
      </c>
      <c r="D26" s="5" t="s">
        <v>16</v>
      </c>
      <c r="E26" s="5" t="s">
        <v>20</v>
      </c>
      <c r="F26" s="5" t="s">
        <v>236</v>
      </c>
      <c r="G26" s="5" t="s">
        <v>17</v>
      </c>
      <c r="H26" s="6">
        <v>24.312414552461899</v>
      </c>
      <c r="I26" s="28">
        <f>AVERAGE(H26:H28)</f>
        <v>24.378183421884568</v>
      </c>
      <c r="J26" s="28">
        <f>_xlfn.STDEV.S(H26:H28)</f>
        <v>0.13575298484224721</v>
      </c>
      <c r="N26" s="8">
        <v>0</v>
      </c>
      <c r="O26" s="9">
        <v>60</v>
      </c>
      <c r="P26" s="5" t="s">
        <v>16</v>
      </c>
      <c r="Q26" s="19"/>
      <c r="R26" s="31">
        <f>I26/I60</f>
        <v>1.0151008155208503</v>
      </c>
      <c r="S26" s="32">
        <f>I26-I60</f>
        <v>0.36265407825373686</v>
      </c>
      <c r="T26" s="32">
        <f t="shared" si="0"/>
        <v>1.285789146781195</v>
      </c>
      <c r="U26" s="33"/>
      <c r="V26" s="31">
        <f>I26/I94</f>
        <v>1.0675320997469966</v>
      </c>
      <c r="W26" s="32">
        <f>I26-I94</f>
        <v>1.5421643198246322</v>
      </c>
      <c r="X26" s="32">
        <f t="shared" ref="X26" si="10">POWER(2,W26)</f>
        <v>2.912310784967358</v>
      </c>
      <c r="Y26" s="33"/>
      <c r="Z26" s="31">
        <f>I26/I128</f>
        <v>1.0489083950589975</v>
      </c>
      <c r="AA26" s="32">
        <f>I26-I128</f>
        <v>1.1367034826250659</v>
      </c>
      <c r="AB26" s="32">
        <f>POWER(2,AA26)</f>
        <v>2.1987803364611</v>
      </c>
      <c r="AC26" s="19"/>
    </row>
    <row r="27" spans="2:29" ht="15" customHeight="1" x14ac:dyDescent="0.25">
      <c r="B27" s="5" t="s">
        <v>296</v>
      </c>
      <c r="C27" s="5" t="s">
        <v>15</v>
      </c>
      <c r="D27" s="5" t="s">
        <v>16</v>
      </c>
      <c r="E27" s="5" t="s">
        <v>20</v>
      </c>
      <c r="F27" s="5" t="s">
        <v>236</v>
      </c>
      <c r="G27" s="5" t="s">
        <v>18</v>
      </c>
      <c r="H27" s="6">
        <v>24.287841581984001</v>
      </c>
      <c r="I27" s="28"/>
      <c r="J27" s="28"/>
      <c r="N27" s="8">
        <v>0</v>
      </c>
      <c r="O27" s="9">
        <v>60</v>
      </c>
      <c r="P27" s="5" t="s">
        <v>16</v>
      </c>
      <c r="Q27" s="19"/>
      <c r="R27" s="31"/>
      <c r="S27" s="32"/>
      <c r="T27" s="32"/>
      <c r="U27" s="33"/>
      <c r="V27" s="31"/>
      <c r="W27" s="32"/>
      <c r="X27" s="32"/>
      <c r="Y27" s="33"/>
      <c r="Z27" s="31"/>
      <c r="AA27" s="32"/>
      <c r="AB27" s="32"/>
      <c r="AC27" s="19"/>
    </row>
    <row r="28" spans="2:29" ht="15" customHeight="1" x14ac:dyDescent="0.25">
      <c r="B28" s="5" t="s">
        <v>297</v>
      </c>
      <c r="C28" s="5" t="s">
        <v>15</v>
      </c>
      <c r="D28" s="5" t="s">
        <v>16</v>
      </c>
      <c r="E28" s="5" t="s">
        <v>20</v>
      </c>
      <c r="F28" s="5" t="s">
        <v>236</v>
      </c>
      <c r="G28" s="5" t="s">
        <v>19</v>
      </c>
      <c r="H28" s="6">
        <v>24.534294131207801</v>
      </c>
      <c r="I28" s="28"/>
      <c r="J28" s="28"/>
      <c r="N28" s="8">
        <v>0</v>
      </c>
      <c r="O28" s="9">
        <v>60</v>
      </c>
      <c r="P28" s="5" t="s">
        <v>16</v>
      </c>
      <c r="Q28" s="19"/>
      <c r="R28" s="31"/>
      <c r="S28" s="32"/>
      <c r="T28" s="32"/>
      <c r="U28" s="33"/>
      <c r="V28" s="31"/>
      <c r="W28" s="32"/>
      <c r="X28" s="32"/>
      <c r="Y28" s="33"/>
      <c r="Z28" s="31"/>
      <c r="AA28" s="32"/>
      <c r="AB28" s="32"/>
      <c r="AC28" s="19"/>
    </row>
    <row r="29" spans="2:29" ht="15" customHeight="1" x14ac:dyDescent="0.25">
      <c r="H29" s="28"/>
      <c r="I29" s="28"/>
      <c r="J29" s="28"/>
      <c r="N29" s="8">
        <v>0</v>
      </c>
      <c r="O29" s="9">
        <v>60</v>
      </c>
      <c r="P29" s="5" t="s">
        <v>16</v>
      </c>
      <c r="Q29" s="19"/>
      <c r="R29" s="31"/>
      <c r="S29" s="32"/>
      <c r="T29" s="32"/>
      <c r="U29" s="33"/>
      <c r="V29" s="31"/>
      <c r="W29" s="32"/>
      <c r="X29" s="32"/>
      <c r="Y29" s="33"/>
      <c r="Z29" s="31"/>
      <c r="AA29" s="32"/>
      <c r="AB29" s="32"/>
      <c r="AC29" s="19"/>
    </row>
    <row r="30" spans="2:29" ht="15" customHeight="1" x14ac:dyDescent="0.25">
      <c r="B30" s="5" t="s">
        <v>298</v>
      </c>
      <c r="C30" s="5" t="s">
        <v>15</v>
      </c>
      <c r="D30" s="5" t="s">
        <v>16</v>
      </c>
      <c r="E30" s="5" t="s">
        <v>20</v>
      </c>
      <c r="F30" s="5" t="s">
        <v>237</v>
      </c>
      <c r="G30" s="5" t="s">
        <v>17</v>
      </c>
      <c r="H30" s="6">
        <v>24.788676104868301</v>
      </c>
      <c r="I30" s="28">
        <f>AVERAGE(H30:H32)</f>
        <v>24.967562517948334</v>
      </c>
      <c r="J30" s="28">
        <f>_xlfn.STDEV.S(H30:H32)</f>
        <v>0.2779000383755183</v>
      </c>
      <c r="N30" s="8">
        <v>0</v>
      </c>
      <c r="O30" s="9">
        <v>60</v>
      </c>
      <c r="P30" s="5" t="s">
        <v>16</v>
      </c>
      <c r="Q30" s="19"/>
      <c r="R30" s="31">
        <f>I30/I64</f>
        <v>1.0225584611462673</v>
      </c>
      <c r="S30" s="32">
        <f>I30-I64</f>
        <v>0.55080448735103715</v>
      </c>
      <c r="T30" s="32">
        <f t="shared" si="0"/>
        <v>1.4649023389982492</v>
      </c>
      <c r="U30" s="33"/>
      <c r="V30" s="31">
        <f>I30/I98</f>
        <v>1.0715670073417423</v>
      </c>
      <c r="W30" s="32">
        <f>I30-I98</f>
        <v>1.6675146937008662</v>
      </c>
      <c r="X30" s="32">
        <f>POWER(2,W30)</f>
        <v>3.1766688251585085</v>
      </c>
      <c r="Y30" s="33"/>
      <c r="Z30" s="31">
        <f>I30/I132</f>
        <v>1.055003647368528</v>
      </c>
      <c r="AA30" s="32">
        <f>I30-I132</f>
        <v>1.3017083000748997</v>
      </c>
      <c r="AB30" s="32">
        <f>POWER(2,AA30)</f>
        <v>2.4652061580833187</v>
      </c>
      <c r="AC30" s="19"/>
    </row>
    <row r="31" spans="2:29" ht="15" customHeight="1" x14ac:dyDescent="0.25">
      <c r="B31" s="5" t="s">
        <v>299</v>
      </c>
      <c r="C31" s="5" t="s">
        <v>15</v>
      </c>
      <c r="D31" s="5" t="s">
        <v>16</v>
      </c>
      <c r="E31" s="5" t="s">
        <v>20</v>
      </c>
      <c r="F31" s="5" t="s">
        <v>237</v>
      </c>
      <c r="G31" s="5" t="s">
        <v>18</v>
      </c>
      <c r="H31" s="6">
        <v>24.826293415019101</v>
      </c>
      <c r="I31" s="28"/>
      <c r="J31" s="28"/>
      <c r="N31" s="8">
        <v>0</v>
      </c>
      <c r="O31" s="9">
        <v>60</v>
      </c>
      <c r="P31" s="5" t="s">
        <v>16</v>
      </c>
      <c r="Q31" s="19"/>
      <c r="R31" s="23"/>
      <c r="S31" s="24"/>
      <c r="T31" s="24"/>
      <c r="U31" s="25"/>
      <c r="V31" s="23"/>
      <c r="W31" s="24"/>
      <c r="X31" s="24"/>
      <c r="Y31" s="25"/>
      <c r="Z31" s="23"/>
      <c r="AA31" s="24"/>
      <c r="AB31" s="24"/>
      <c r="AC31" s="19"/>
    </row>
    <row r="32" spans="2:29" ht="15" customHeight="1" x14ac:dyDescent="0.25">
      <c r="B32" s="5" t="s">
        <v>300</v>
      </c>
      <c r="C32" s="5" t="s">
        <v>15</v>
      </c>
      <c r="D32" s="5" t="s">
        <v>16</v>
      </c>
      <c r="E32" s="5" t="s">
        <v>20</v>
      </c>
      <c r="F32" s="5" t="s">
        <v>237</v>
      </c>
      <c r="G32" s="5" t="s">
        <v>19</v>
      </c>
      <c r="H32" s="6">
        <v>25.287718033957599</v>
      </c>
      <c r="I32" s="28"/>
      <c r="J32" s="28"/>
      <c r="N32" s="8">
        <v>0</v>
      </c>
      <c r="O32" s="9">
        <v>60</v>
      </c>
      <c r="P32" s="5" t="s">
        <v>16</v>
      </c>
      <c r="Q32" s="19"/>
      <c r="R32" s="23"/>
      <c r="S32" s="24"/>
      <c r="T32" s="24"/>
      <c r="U32" s="25"/>
      <c r="V32" s="23"/>
      <c r="W32" s="24"/>
      <c r="X32" s="24"/>
      <c r="Y32" s="25"/>
      <c r="Z32" s="23"/>
      <c r="AA32" s="24"/>
      <c r="AB32" s="24"/>
      <c r="AC32" s="19"/>
    </row>
    <row r="33" spans="2:29" ht="15" customHeight="1" x14ac:dyDescent="0.25">
      <c r="B33" s="11"/>
      <c r="C33" s="11"/>
      <c r="D33" s="11"/>
      <c r="E33" s="11"/>
      <c r="F33" s="11"/>
      <c r="G33" s="11"/>
      <c r="H33" s="29"/>
      <c r="I33" s="29"/>
      <c r="J33" s="29"/>
      <c r="K33" s="13"/>
      <c r="L33" s="12"/>
      <c r="M33" s="13"/>
      <c r="N33" s="13">
        <v>0</v>
      </c>
      <c r="O33" s="14">
        <v>60</v>
      </c>
      <c r="P33" s="11" t="s">
        <v>16</v>
      </c>
      <c r="Q33" s="20"/>
      <c r="R33" s="26"/>
      <c r="S33" s="24"/>
      <c r="T33" s="24"/>
      <c r="U33" s="27"/>
      <c r="V33" s="26"/>
      <c r="W33" s="24"/>
      <c r="X33" s="24"/>
      <c r="Y33" s="27"/>
      <c r="Z33" s="26"/>
      <c r="AA33" s="24"/>
      <c r="AB33" s="24"/>
      <c r="AC33" s="20"/>
    </row>
    <row r="34" spans="2:29" ht="15" customHeight="1" x14ac:dyDescent="0.2">
      <c r="B34" s="21"/>
      <c r="C34" s="21"/>
      <c r="D34" s="21"/>
      <c r="E34" s="21"/>
      <c r="F34" s="21"/>
      <c r="G34" s="21"/>
      <c r="H34" s="30"/>
      <c r="I34" s="30"/>
      <c r="J34" s="30"/>
      <c r="K34" s="21"/>
      <c r="L34" s="21"/>
      <c r="M34" s="21"/>
      <c r="N34" s="21">
        <v>0</v>
      </c>
      <c r="O34" s="21">
        <v>60</v>
      </c>
      <c r="P34" s="21" t="s">
        <v>16</v>
      </c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2:29" ht="15" customHeight="1" x14ac:dyDescent="0.2">
      <c r="B35" s="10"/>
      <c r="C35" s="10"/>
      <c r="D35" s="10"/>
      <c r="E35" s="10"/>
      <c r="F35" s="10"/>
      <c r="G35" s="10"/>
      <c r="H35" s="28"/>
      <c r="I35" s="28"/>
      <c r="J35" s="28"/>
      <c r="K35" s="10"/>
      <c r="L35" s="10"/>
      <c r="M35" s="10"/>
      <c r="N35" s="10"/>
      <c r="O35" s="10"/>
      <c r="P35" s="10"/>
      <c r="Q35" s="19"/>
      <c r="R35" s="17"/>
      <c r="U35" s="19"/>
      <c r="V35" s="17"/>
      <c r="Y35" s="19"/>
      <c r="Z35" s="17"/>
      <c r="AC35" s="19"/>
    </row>
    <row r="36" spans="2:29" ht="15" customHeight="1" x14ac:dyDescent="0.2">
      <c r="B36" s="5" t="s">
        <v>271</v>
      </c>
      <c r="C36" s="5" t="s">
        <v>15</v>
      </c>
      <c r="D36" s="5" t="s">
        <v>16</v>
      </c>
      <c r="E36" s="5" t="s">
        <v>20</v>
      </c>
      <c r="F36" s="5" t="s">
        <v>268</v>
      </c>
      <c r="G36" s="5" t="s">
        <v>17</v>
      </c>
      <c r="H36" s="6">
        <v>22.139138714329899</v>
      </c>
      <c r="I36" s="28">
        <f>AVERAGE(H36:H38)</f>
        <v>21.980278171621833</v>
      </c>
      <c r="J36" s="28">
        <f>_xlfn.STDEV.S(H36:H38)</f>
        <v>0.13761393264393312</v>
      </c>
      <c r="N36" s="8">
        <v>0</v>
      </c>
      <c r="O36" s="9">
        <v>60</v>
      </c>
      <c r="P36" s="5" t="s">
        <v>16</v>
      </c>
      <c r="Q36" s="19"/>
      <c r="R36" s="17"/>
      <c r="U36" s="19"/>
      <c r="V36" s="17"/>
      <c r="Y36" s="19"/>
      <c r="Z36" s="17"/>
      <c r="AC36" s="19"/>
    </row>
    <row r="37" spans="2:29" ht="15" customHeight="1" x14ac:dyDescent="0.2">
      <c r="B37" s="5" t="s">
        <v>272</v>
      </c>
      <c r="C37" s="5" t="s">
        <v>15</v>
      </c>
      <c r="D37" s="5" t="s">
        <v>16</v>
      </c>
      <c r="E37" s="5" t="s">
        <v>20</v>
      </c>
      <c r="F37" s="5" t="s">
        <v>268</v>
      </c>
      <c r="G37" s="5" t="s">
        <v>18</v>
      </c>
      <c r="H37" s="6">
        <v>21.897671355666699</v>
      </c>
      <c r="I37" s="28"/>
      <c r="J37" s="28"/>
      <c r="Q37" s="19"/>
      <c r="R37" s="17"/>
      <c r="U37" s="19"/>
      <c r="V37" s="17"/>
      <c r="Y37" s="19"/>
      <c r="Z37" s="17"/>
      <c r="AC37" s="19"/>
    </row>
    <row r="38" spans="2:29" ht="15" customHeight="1" x14ac:dyDescent="0.2">
      <c r="B38" s="5" t="s">
        <v>273</v>
      </c>
      <c r="C38" s="5" t="s">
        <v>15</v>
      </c>
      <c r="D38" s="5" t="s">
        <v>16</v>
      </c>
      <c r="E38" s="5" t="s">
        <v>20</v>
      </c>
      <c r="F38" s="5" t="s">
        <v>268</v>
      </c>
      <c r="G38" s="5" t="s">
        <v>19</v>
      </c>
      <c r="H38" s="6">
        <v>21.904024444868899</v>
      </c>
      <c r="I38" s="28"/>
      <c r="J38" s="28"/>
      <c r="Q38" s="19"/>
      <c r="R38" s="17"/>
      <c r="U38" s="19"/>
      <c r="V38" s="17"/>
      <c r="Y38" s="19"/>
      <c r="Z38" s="17"/>
      <c r="AC38" s="19"/>
    </row>
    <row r="39" spans="2:29" ht="15" customHeight="1" x14ac:dyDescent="0.2">
      <c r="H39" s="28"/>
      <c r="I39" s="28"/>
      <c r="J39" s="28"/>
      <c r="N39" s="8">
        <v>0</v>
      </c>
      <c r="O39" s="9">
        <v>60</v>
      </c>
      <c r="P39" s="5" t="s">
        <v>16</v>
      </c>
      <c r="Q39" s="19"/>
      <c r="R39" s="17"/>
      <c r="U39" s="19"/>
      <c r="V39" s="17"/>
      <c r="Y39" s="19"/>
      <c r="Z39" s="17"/>
      <c r="AC39" s="19"/>
    </row>
    <row r="40" spans="2:29" ht="15" customHeight="1" x14ac:dyDescent="0.2">
      <c r="B40" s="5" t="s">
        <v>277</v>
      </c>
      <c r="C40" s="5" t="s">
        <v>15</v>
      </c>
      <c r="D40" s="5" t="s">
        <v>16</v>
      </c>
      <c r="E40" s="5" t="s">
        <v>20</v>
      </c>
      <c r="F40" s="5" t="s">
        <v>238</v>
      </c>
      <c r="G40" s="5" t="s">
        <v>17</v>
      </c>
      <c r="H40" s="6">
        <v>25.383434437092099</v>
      </c>
      <c r="I40" s="28">
        <f>AVERAGE(H40:H42)</f>
        <v>25.328296154125933</v>
      </c>
      <c r="J40" s="28">
        <f>_xlfn.STDEV.S(H40:H42)</f>
        <v>5.4194585988853183E-2</v>
      </c>
      <c r="N40" s="8">
        <v>0</v>
      </c>
      <c r="O40" s="9">
        <v>60</v>
      </c>
      <c r="P40" s="5" t="s">
        <v>16</v>
      </c>
      <c r="Q40" s="19"/>
      <c r="R40" s="17"/>
      <c r="U40" s="19"/>
      <c r="V40" s="17"/>
      <c r="Y40" s="19"/>
      <c r="Z40" s="17"/>
      <c r="AC40" s="19"/>
    </row>
    <row r="41" spans="2:29" ht="15" customHeight="1" x14ac:dyDescent="0.2">
      <c r="B41" s="5" t="s">
        <v>278</v>
      </c>
      <c r="C41" s="5" t="s">
        <v>15</v>
      </c>
      <c r="D41" s="5" t="s">
        <v>16</v>
      </c>
      <c r="E41" s="5" t="s">
        <v>20</v>
      </c>
      <c r="F41" s="5" t="s">
        <v>238</v>
      </c>
      <c r="G41" s="5" t="s">
        <v>18</v>
      </c>
      <c r="H41" s="6">
        <v>25.326356692004101</v>
      </c>
      <c r="I41" s="28"/>
      <c r="J41" s="28"/>
      <c r="N41" s="8">
        <v>0</v>
      </c>
      <c r="O41" s="9">
        <v>60</v>
      </c>
      <c r="P41" s="5" t="s">
        <v>16</v>
      </c>
      <c r="Q41" s="19"/>
      <c r="R41" s="17"/>
      <c r="U41" s="19"/>
      <c r="V41" s="17"/>
      <c r="Y41" s="19"/>
      <c r="Z41" s="17"/>
      <c r="AC41" s="19"/>
    </row>
    <row r="42" spans="2:29" ht="15" customHeight="1" x14ac:dyDescent="0.2">
      <c r="B42" s="5" t="s">
        <v>279</v>
      </c>
      <c r="C42" s="5" t="s">
        <v>15</v>
      </c>
      <c r="D42" s="5" t="s">
        <v>16</v>
      </c>
      <c r="E42" s="5" t="s">
        <v>20</v>
      </c>
      <c r="F42" s="5" t="s">
        <v>238</v>
      </c>
      <c r="G42" s="5" t="s">
        <v>19</v>
      </c>
      <c r="H42" s="6">
        <v>25.2750973332816</v>
      </c>
      <c r="I42" s="28"/>
      <c r="J42" s="28"/>
      <c r="N42" s="8">
        <v>0</v>
      </c>
      <c r="O42" s="9">
        <v>60</v>
      </c>
      <c r="P42" s="5" t="s">
        <v>16</v>
      </c>
      <c r="Q42" s="19"/>
      <c r="R42" s="17"/>
      <c r="U42" s="19"/>
      <c r="V42" s="17"/>
      <c r="Y42" s="19"/>
      <c r="Z42" s="17"/>
      <c r="AC42" s="19"/>
    </row>
    <row r="43" spans="2:29" ht="15" customHeight="1" x14ac:dyDescent="0.2">
      <c r="H43" s="28"/>
      <c r="I43" s="28"/>
      <c r="J43" s="28"/>
      <c r="N43" s="8">
        <v>0</v>
      </c>
      <c r="O43" s="9">
        <v>60</v>
      </c>
      <c r="P43" s="5" t="s">
        <v>16</v>
      </c>
      <c r="Q43" s="19"/>
      <c r="R43" s="17"/>
      <c r="U43" s="19"/>
      <c r="V43" s="17"/>
      <c r="Y43" s="19"/>
      <c r="Z43" s="17"/>
      <c r="AC43" s="19"/>
    </row>
    <row r="44" spans="2:29" ht="15" customHeight="1" x14ac:dyDescent="0.2">
      <c r="B44" s="5" t="s">
        <v>21</v>
      </c>
      <c r="C44" s="5" t="s">
        <v>15</v>
      </c>
      <c r="D44" s="5" t="s">
        <v>16</v>
      </c>
      <c r="E44" s="5" t="s">
        <v>20</v>
      </c>
      <c r="F44" s="5" t="s">
        <v>239</v>
      </c>
      <c r="G44" s="5" t="s">
        <v>17</v>
      </c>
      <c r="H44" s="6">
        <v>24.479816986632098</v>
      </c>
      <c r="I44" s="28">
        <f>AVERAGE(H44:H46)</f>
        <v>24.406821243101366</v>
      </c>
      <c r="J44" s="28">
        <f>_xlfn.STDEV.S(H44:H46)</f>
        <v>6.5684391452910357E-2</v>
      </c>
      <c r="N44" s="8">
        <v>0</v>
      </c>
      <c r="O44" s="9">
        <v>60</v>
      </c>
      <c r="P44" s="5" t="s">
        <v>16</v>
      </c>
      <c r="Q44" s="19"/>
      <c r="R44" s="17"/>
      <c r="U44" s="19"/>
      <c r="V44" s="17"/>
      <c r="Y44" s="19"/>
      <c r="Z44" s="17"/>
      <c r="AC44" s="19"/>
    </row>
    <row r="45" spans="2:29" ht="15" customHeight="1" x14ac:dyDescent="0.2">
      <c r="B45" s="5" t="s">
        <v>23</v>
      </c>
      <c r="C45" s="5" t="s">
        <v>15</v>
      </c>
      <c r="D45" s="5" t="s">
        <v>16</v>
      </c>
      <c r="E45" s="5" t="s">
        <v>20</v>
      </c>
      <c r="F45" s="5" t="s">
        <v>239</v>
      </c>
      <c r="G45" s="5" t="s">
        <v>18</v>
      </c>
      <c r="H45" s="6">
        <v>24.352486461560598</v>
      </c>
      <c r="I45" s="28"/>
      <c r="J45" s="28"/>
      <c r="N45" s="8">
        <v>0</v>
      </c>
      <c r="O45" s="9">
        <v>60</v>
      </c>
      <c r="P45" s="5" t="s">
        <v>16</v>
      </c>
      <c r="Q45" s="19"/>
      <c r="R45" s="17"/>
      <c r="U45" s="19"/>
      <c r="V45" s="17"/>
      <c r="Y45" s="19"/>
      <c r="Z45" s="17"/>
      <c r="AC45" s="19"/>
    </row>
    <row r="46" spans="2:29" ht="15" customHeight="1" x14ac:dyDescent="0.2">
      <c r="B46" s="5" t="s">
        <v>24</v>
      </c>
      <c r="C46" s="5" t="s">
        <v>15</v>
      </c>
      <c r="D46" s="5" t="s">
        <v>16</v>
      </c>
      <c r="E46" s="5" t="s">
        <v>20</v>
      </c>
      <c r="F46" s="5" t="s">
        <v>239</v>
      </c>
      <c r="G46" s="5" t="s">
        <v>19</v>
      </c>
      <c r="H46" s="6">
        <v>24.3881602811114</v>
      </c>
      <c r="I46" s="28"/>
      <c r="J46" s="28"/>
      <c r="N46" s="8">
        <v>0</v>
      </c>
      <c r="O46" s="9">
        <v>60</v>
      </c>
      <c r="P46" s="5" t="s">
        <v>16</v>
      </c>
      <c r="Q46" s="19"/>
      <c r="R46" s="17"/>
      <c r="U46" s="19"/>
      <c r="V46" s="17"/>
      <c r="Y46" s="19"/>
      <c r="Z46" s="17"/>
      <c r="AC46" s="19"/>
    </row>
    <row r="47" spans="2:29" ht="15" customHeight="1" x14ac:dyDescent="0.2">
      <c r="B47" s="10"/>
      <c r="C47" s="10"/>
      <c r="D47" s="10"/>
      <c r="E47" s="10"/>
      <c r="F47" s="10"/>
      <c r="H47" s="28"/>
      <c r="I47" s="28"/>
      <c r="J47" s="28"/>
      <c r="N47" s="8">
        <v>0</v>
      </c>
      <c r="O47" s="9">
        <v>60</v>
      </c>
      <c r="P47" s="5" t="s">
        <v>16</v>
      </c>
      <c r="Q47" s="19"/>
      <c r="R47" s="17"/>
      <c r="U47" s="19"/>
      <c r="V47" s="17"/>
      <c r="Y47" s="19"/>
      <c r="Z47" s="17"/>
      <c r="AC47" s="19"/>
    </row>
    <row r="48" spans="2:29" ht="15" customHeight="1" x14ac:dyDescent="0.2">
      <c r="B48" s="5" t="s">
        <v>25</v>
      </c>
      <c r="C48" s="5" t="s">
        <v>15</v>
      </c>
      <c r="D48" s="5" t="s">
        <v>16</v>
      </c>
      <c r="E48" s="5" t="s">
        <v>20</v>
      </c>
      <c r="F48" s="5" t="s">
        <v>240</v>
      </c>
      <c r="G48" s="5" t="s">
        <v>17</v>
      </c>
      <c r="H48" s="6">
        <v>25.0805223406289</v>
      </c>
      <c r="I48" s="28">
        <f>AVERAGE(H48:H50)</f>
        <v>25.092349529870734</v>
      </c>
      <c r="J48" s="28">
        <f>_xlfn.STDEV.S(H48:H50)</f>
        <v>3.5674638003901596E-2</v>
      </c>
      <c r="N48" s="8">
        <v>0</v>
      </c>
      <c r="O48" s="9">
        <v>60</v>
      </c>
      <c r="P48" s="5" t="s">
        <v>16</v>
      </c>
      <c r="Q48" s="19"/>
      <c r="R48" s="17"/>
      <c r="U48" s="19"/>
      <c r="V48" s="17"/>
      <c r="Y48" s="19"/>
      <c r="Z48" s="17"/>
      <c r="AC48" s="19"/>
    </row>
    <row r="49" spans="2:29" ht="15" customHeight="1" x14ac:dyDescent="0.2">
      <c r="B49" s="5" t="s">
        <v>27</v>
      </c>
      <c r="C49" s="5" t="s">
        <v>15</v>
      </c>
      <c r="D49" s="5" t="s">
        <v>16</v>
      </c>
      <c r="E49" s="5" t="s">
        <v>20</v>
      </c>
      <c r="F49" s="5" t="s">
        <v>240</v>
      </c>
      <c r="G49" s="5" t="s">
        <v>18</v>
      </c>
      <c r="H49" s="6">
        <v>25.132435745004098</v>
      </c>
      <c r="I49" s="28"/>
      <c r="J49" s="28"/>
      <c r="N49" s="8">
        <v>0</v>
      </c>
      <c r="O49" s="9">
        <v>60</v>
      </c>
      <c r="P49" s="5" t="s">
        <v>16</v>
      </c>
      <c r="Q49" s="19"/>
      <c r="R49" s="17"/>
      <c r="U49" s="19"/>
      <c r="V49" s="17"/>
      <c r="Y49" s="19"/>
      <c r="Z49" s="17"/>
      <c r="AC49" s="19"/>
    </row>
    <row r="50" spans="2:29" ht="15" customHeight="1" x14ac:dyDescent="0.2">
      <c r="B50" s="5" t="s">
        <v>28</v>
      </c>
      <c r="C50" s="5" t="s">
        <v>15</v>
      </c>
      <c r="D50" s="5" t="s">
        <v>16</v>
      </c>
      <c r="E50" s="5" t="s">
        <v>20</v>
      </c>
      <c r="F50" s="5" t="s">
        <v>240</v>
      </c>
      <c r="G50" s="5" t="s">
        <v>19</v>
      </c>
      <c r="H50" s="6">
        <v>25.064090503979202</v>
      </c>
      <c r="I50" s="28"/>
      <c r="J50" s="28"/>
      <c r="N50" s="8">
        <v>0</v>
      </c>
      <c r="O50" s="9">
        <v>60</v>
      </c>
      <c r="P50" s="5" t="s">
        <v>16</v>
      </c>
      <c r="Q50" s="19"/>
      <c r="R50" s="17"/>
      <c r="U50" s="19"/>
      <c r="V50" s="17"/>
      <c r="Y50" s="19"/>
      <c r="Z50" s="17"/>
      <c r="AC50" s="19"/>
    </row>
    <row r="51" spans="2:29" ht="15" customHeight="1" x14ac:dyDescent="0.2">
      <c r="B51" s="10"/>
      <c r="C51" s="10"/>
      <c r="D51" s="10"/>
      <c r="E51" s="10"/>
      <c r="F51" s="10"/>
      <c r="H51" s="28"/>
      <c r="I51" s="28"/>
      <c r="J51" s="28"/>
      <c r="N51" s="8">
        <v>0</v>
      </c>
      <c r="O51" s="9">
        <v>60</v>
      </c>
      <c r="P51" s="5" t="s">
        <v>16</v>
      </c>
      <c r="Q51" s="19"/>
      <c r="R51" s="17"/>
      <c r="U51" s="19"/>
      <c r="V51" s="17"/>
      <c r="Y51" s="19"/>
      <c r="Z51" s="17"/>
      <c r="AC51" s="19"/>
    </row>
    <row r="52" spans="2:29" ht="15" customHeight="1" x14ac:dyDescent="0.2">
      <c r="B52" s="5" t="s">
        <v>29</v>
      </c>
      <c r="C52" s="5" t="s">
        <v>15</v>
      </c>
      <c r="D52" s="5" t="s">
        <v>16</v>
      </c>
      <c r="E52" s="5" t="s">
        <v>20</v>
      </c>
      <c r="F52" s="5" t="s">
        <v>241</v>
      </c>
      <c r="G52" s="5" t="s">
        <v>17</v>
      </c>
      <c r="H52" s="6">
        <v>24.178208215189901</v>
      </c>
      <c r="I52" s="28">
        <f>AVERAGE(H52:H54)</f>
        <v>24.148993502625931</v>
      </c>
      <c r="J52" s="28">
        <f>_xlfn.STDEV.S(H52:H54)</f>
        <v>6.2320193421381453E-2</v>
      </c>
      <c r="N52" s="8">
        <v>0</v>
      </c>
      <c r="O52" s="9">
        <v>60</v>
      </c>
      <c r="P52" s="5" t="s">
        <v>16</v>
      </c>
      <c r="Q52" s="19"/>
      <c r="R52" s="17"/>
      <c r="U52" s="19"/>
      <c r="V52" s="17"/>
      <c r="Y52" s="19"/>
      <c r="Z52" s="17"/>
      <c r="AC52" s="19"/>
    </row>
    <row r="53" spans="2:29" ht="15" customHeight="1" x14ac:dyDescent="0.2">
      <c r="B53" s="5" t="s">
        <v>31</v>
      </c>
      <c r="C53" s="5" t="s">
        <v>15</v>
      </c>
      <c r="D53" s="5" t="s">
        <v>16</v>
      </c>
      <c r="E53" s="5" t="s">
        <v>20</v>
      </c>
      <c r="F53" s="5" t="s">
        <v>241</v>
      </c>
      <c r="G53" s="5" t="s">
        <v>18</v>
      </c>
      <c r="H53" s="6">
        <v>24.1913394775497</v>
      </c>
      <c r="I53" s="28"/>
      <c r="J53" s="28"/>
      <c r="N53" s="8">
        <v>0</v>
      </c>
      <c r="O53" s="9">
        <v>60</v>
      </c>
      <c r="P53" s="5" t="s">
        <v>16</v>
      </c>
      <c r="Q53" s="19"/>
      <c r="R53" s="17"/>
      <c r="U53" s="19"/>
      <c r="V53" s="17"/>
      <c r="Y53" s="19"/>
      <c r="Z53" s="17"/>
      <c r="AC53" s="19"/>
    </row>
    <row r="54" spans="2:29" ht="15" customHeight="1" x14ac:dyDescent="0.2">
      <c r="B54" s="5" t="s">
        <v>32</v>
      </c>
      <c r="C54" s="5" t="s">
        <v>15</v>
      </c>
      <c r="D54" s="5" t="s">
        <v>16</v>
      </c>
      <c r="E54" s="5" t="s">
        <v>20</v>
      </c>
      <c r="F54" s="5" t="s">
        <v>241</v>
      </c>
      <c r="G54" s="5" t="s">
        <v>19</v>
      </c>
      <c r="H54" s="6">
        <v>24.077432815138199</v>
      </c>
      <c r="I54" s="28"/>
      <c r="J54" s="28"/>
      <c r="N54" s="8">
        <v>0</v>
      </c>
      <c r="O54" s="9">
        <v>60</v>
      </c>
      <c r="P54" s="5" t="s">
        <v>16</v>
      </c>
      <c r="Q54" s="19"/>
      <c r="R54" s="17"/>
      <c r="U54" s="19"/>
      <c r="V54" s="17"/>
      <c r="Y54" s="19"/>
      <c r="Z54" s="17"/>
      <c r="AC54" s="19"/>
    </row>
    <row r="55" spans="2:29" x14ac:dyDescent="0.2">
      <c r="H55" s="28"/>
      <c r="I55" s="28"/>
      <c r="J55" s="28"/>
      <c r="Q55" s="19"/>
      <c r="R55" s="17"/>
      <c r="U55" s="19"/>
      <c r="V55" s="17"/>
      <c r="Y55" s="19"/>
      <c r="Z55" s="17"/>
      <c r="AC55" s="19"/>
    </row>
    <row r="56" spans="2:29" ht="15" customHeight="1" x14ac:dyDescent="0.2">
      <c r="B56" s="5" t="s">
        <v>33</v>
      </c>
      <c r="C56" s="5" t="s">
        <v>15</v>
      </c>
      <c r="D56" s="5" t="s">
        <v>16</v>
      </c>
      <c r="E56" s="5" t="s">
        <v>20</v>
      </c>
      <c r="F56" s="5" t="s">
        <v>242</v>
      </c>
      <c r="G56" s="5" t="s">
        <v>17</v>
      </c>
      <c r="H56" s="6">
        <v>22.830920621130499</v>
      </c>
      <c r="I56" s="28">
        <f>AVERAGE(H56:H58)</f>
        <v>22.721949789706766</v>
      </c>
      <c r="J56" s="28">
        <f>_xlfn.STDEV.S(H56:H58)</f>
        <v>9.8699674722658601E-2</v>
      </c>
      <c r="N56" s="8">
        <v>0</v>
      </c>
      <c r="O56" s="9">
        <v>60</v>
      </c>
      <c r="P56" s="5" t="s">
        <v>16</v>
      </c>
      <c r="Q56" s="19"/>
      <c r="R56" s="17"/>
      <c r="U56" s="19"/>
      <c r="V56" s="17"/>
      <c r="Y56" s="19"/>
      <c r="Z56" s="17"/>
      <c r="AC56" s="19"/>
    </row>
    <row r="57" spans="2:29" ht="15" customHeight="1" x14ac:dyDescent="0.2">
      <c r="B57" s="5" t="s">
        <v>35</v>
      </c>
      <c r="C57" s="5" t="s">
        <v>15</v>
      </c>
      <c r="D57" s="5" t="s">
        <v>16</v>
      </c>
      <c r="E57" s="5" t="s">
        <v>20</v>
      </c>
      <c r="F57" s="5" t="s">
        <v>242</v>
      </c>
      <c r="G57" s="5" t="s">
        <v>18</v>
      </c>
      <c r="H57" s="6">
        <v>22.6963718853799</v>
      </c>
      <c r="I57" s="28"/>
      <c r="J57" s="28"/>
      <c r="N57" s="8">
        <v>0</v>
      </c>
      <c r="O57" s="9">
        <v>60</v>
      </c>
      <c r="P57" s="5" t="s">
        <v>16</v>
      </c>
      <c r="Q57" s="19"/>
      <c r="R57" s="17"/>
      <c r="U57" s="19"/>
      <c r="V57" s="17"/>
      <c r="Y57" s="19"/>
      <c r="Z57" s="17"/>
      <c r="AC57" s="19"/>
    </row>
    <row r="58" spans="2:29" ht="15" customHeight="1" x14ac:dyDescent="0.2">
      <c r="B58" s="5" t="s">
        <v>36</v>
      </c>
      <c r="C58" s="5" t="s">
        <v>15</v>
      </c>
      <c r="D58" s="5" t="s">
        <v>16</v>
      </c>
      <c r="E58" s="5" t="s">
        <v>20</v>
      </c>
      <c r="F58" s="5" t="s">
        <v>242</v>
      </c>
      <c r="G58" s="5" t="s">
        <v>19</v>
      </c>
      <c r="H58" s="6">
        <v>22.638556862609899</v>
      </c>
      <c r="I58" s="28"/>
      <c r="J58" s="28"/>
      <c r="N58" s="8">
        <v>0</v>
      </c>
      <c r="O58" s="9">
        <v>60</v>
      </c>
      <c r="P58" s="5" t="s">
        <v>16</v>
      </c>
      <c r="Q58" s="19"/>
      <c r="R58" s="17"/>
      <c r="U58" s="19"/>
      <c r="V58" s="17"/>
      <c r="Y58" s="19"/>
      <c r="Z58" s="17"/>
      <c r="AC58" s="19"/>
    </row>
    <row r="59" spans="2:29" x14ac:dyDescent="0.2">
      <c r="H59" s="28"/>
      <c r="I59" s="28"/>
      <c r="J59" s="28"/>
      <c r="Q59" s="19"/>
      <c r="R59" s="17"/>
      <c r="U59" s="19"/>
      <c r="V59" s="17"/>
      <c r="Y59" s="19"/>
      <c r="Z59" s="17"/>
      <c r="AC59" s="19"/>
    </row>
    <row r="60" spans="2:29" ht="15" customHeight="1" x14ac:dyDescent="0.2">
      <c r="B60" s="5" t="s">
        <v>37</v>
      </c>
      <c r="C60" s="5" t="s">
        <v>15</v>
      </c>
      <c r="D60" s="5" t="s">
        <v>16</v>
      </c>
      <c r="E60" s="5" t="s">
        <v>20</v>
      </c>
      <c r="F60" s="5" t="s">
        <v>243</v>
      </c>
      <c r="G60" s="5" t="s">
        <v>17</v>
      </c>
      <c r="H60" s="6">
        <v>23.988540404761199</v>
      </c>
      <c r="I60" s="28">
        <f>AVERAGE(H60:H62)</f>
        <v>24.015529343630831</v>
      </c>
      <c r="J60" s="28">
        <f>_xlfn.STDEV.S(H60:H62)</f>
        <v>4.3605133363487633E-2</v>
      </c>
      <c r="N60" s="8">
        <v>0</v>
      </c>
      <c r="O60" s="9">
        <v>60</v>
      </c>
      <c r="P60" s="5" t="s">
        <v>16</v>
      </c>
      <c r="Q60" s="19"/>
      <c r="R60" s="17"/>
      <c r="U60" s="19"/>
      <c r="V60" s="17"/>
      <c r="Y60" s="19"/>
      <c r="Z60" s="17"/>
      <c r="AC60" s="19"/>
    </row>
    <row r="61" spans="2:29" ht="15" customHeight="1" x14ac:dyDescent="0.2">
      <c r="B61" s="5" t="s">
        <v>39</v>
      </c>
      <c r="C61" s="5" t="s">
        <v>15</v>
      </c>
      <c r="D61" s="5" t="s">
        <v>16</v>
      </c>
      <c r="E61" s="5" t="s">
        <v>20</v>
      </c>
      <c r="F61" s="5" t="s">
        <v>243</v>
      </c>
      <c r="G61" s="5" t="s">
        <v>18</v>
      </c>
      <c r="H61" s="6">
        <v>23.992212054894299</v>
      </c>
      <c r="I61" s="28"/>
      <c r="J61" s="28"/>
      <c r="N61" s="8">
        <v>0</v>
      </c>
      <c r="O61" s="9">
        <v>60</v>
      </c>
      <c r="P61" s="5" t="s">
        <v>16</v>
      </c>
      <c r="Q61" s="19"/>
      <c r="R61" s="17"/>
      <c r="U61" s="19"/>
      <c r="V61" s="17"/>
      <c r="Y61" s="19"/>
      <c r="Z61" s="17"/>
      <c r="AC61" s="19"/>
    </row>
    <row r="62" spans="2:29" ht="15" customHeight="1" x14ac:dyDescent="0.2">
      <c r="B62" s="5" t="s">
        <v>40</v>
      </c>
      <c r="C62" s="5" t="s">
        <v>15</v>
      </c>
      <c r="D62" s="5" t="s">
        <v>16</v>
      </c>
      <c r="E62" s="5" t="s">
        <v>20</v>
      </c>
      <c r="F62" s="5" t="s">
        <v>243</v>
      </c>
      <c r="G62" s="5" t="s">
        <v>19</v>
      </c>
      <c r="H62" s="6">
        <v>24.065835571236999</v>
      </c>
      <c r="I62" s="28"/>
      <c r="J62" s="28"/>
      <c r="N62" s="8">
        <v>0</v>
      </c>
      <c r="O62" s="9">
        <v>60</v>
      </c>
      <c r="P62" s="5" t="s">
        <v>16</v>
      </c>
      <c r="Q62" s="19"/>
      <c r="R62" s="17"/>
      <c r="U62" s="19"/>
      <c r="V62" s="17"/>
      <c r="Y62" s="19"/>
      <c r="Z62" s="17"/>
      <c r="AC62" s="19"/>
    </row>
    <row r="63" spans="2:29" x14ac:dyDescent="0.2">
      <c r="H63" s="28"/>
      <c r="I63" s="28"/>
      <c r="J63" s="28"/>
      <c r="Q63" s="19"/>
      <c r="R63" s="17"/>
      <c r="U63" s="19"/>
      <c r="V63" s="17"/>
      <c r="Y63" s="19"/>
      <c r="Z63" s="17"/>
      <c r="AC63" s="19"/>
    </row>
    <row r="64" spans="2:29" ht="15" customHeight="1" x14ac:dyDescent="0.2">
      <c r="B64" s="5" t="s">
        <v>41</v>
      </c>
      <c r="C64" s="5" t="s">
        <v>15</v>
      </c>
      <c r="D64" s="5" t="s">
        <v>16</v>
      </c>
      <c r="E64" s="5" t="s">
        <v>20</v>
      </c>
      <c r="F64" s="5" t="s">
        <v>244</v>
      </c>
      <c r="G64" s="5" t="s">
        <v>17</v>
      </c>
      <c r="H64" s="6">
        <v>24.607419250253798</v>
      </c>
      <c r="I64" s="28">
        <f>AVERAGE(H64:H66)</f>
        <v>24.416758030597297</v>
      </c>
      <c r="J64" s="28">
        <f>_xlfn.STDEV.S(H64:H66)</f>
        <v>0.16940499037915099</v>
      </c>
      <c r="N64" s="8">
        <v>0</v>
      </c>
      <c r="O64" s="9">
        <v>60</v>
      </c>
      <c r="P64" s="5" t="s">
        <v>16</v>
      </c>
      <c r="Q64" s="19"/>
      <c r="R64" s="17"/>
      <c r="U64" s="19"/>
      <c r="V64" s="17"/>
      <c r="Y64" s="19"/>
      <c r="Z64" s="17"/>
      <c r="AC64" s="19"/>
    </row>
    <row r="65" spans="2:29" ht="15" customHeight="1" x14ac:dyDescent="0.2">
      <c r="B65" s="5" t="s">
        <v>43</v>
      </c>
      <c r="C65" s="5" t="s">
        <v>15</v>
      </c>
      <c r="D65" s="5" t="s">
        <v>16</v>
      </c>
      <c r="E65" s="5" t="s">
        <v>20</v>
      </c>
      <c r="F65" s="5" t="s">
        <v>244</v>
      </c>
      <c r="G65" s="5" t="s">
        <v>18</v>
      </c>
      <c r="H65" s="6">
        <v>24.359299247430599</v>
      </c>
      <c r="I65" s="28"/>
      <c r="J65" s="28"/>
      <c r="N65" s="8">
        <v>0</v>
      </c>
      <c r="O65" s="9">
        <v>60</v>
      </c>
      <c r="P65" s="5" t="s">
        <v>16</v>
      </c>
      <c r="Q65" s="19"/>
      <c r="R65" s="17"/>
      <c r="U65" s="19"/>
      <c r="V65" s="17"/>
      <c r="Y65" s="19"/>
      <c r="Z65" s="17"/>
      <c r="AC65" s="19"/>
    </row>
    <row r="66" spans="2:29" ht="15" customHeight="1" x14ac:dyDescent="0.2">
      <c r="B66" s="5" t="s">
        <v>44</v>
      </c>
      <c r="C66" s="5" t="s">
        <v>15</v>
      </c>
      <c r="D66" s="5" t="s">
        <v>16</v>
      </c>
      <c r="E66" s="5" t="s">
        <v>20</v>
      </c>
      <c r="F66" s="5" t="s">
        <v>244</v>
      </c>
      <c r="G66" s="5" t="s">
        <v>19</v>
      </c>
      <c r="H66" s="6">
        <v>24.283555594107501</v>
      </c>
      <c r="I66" s="28"/>
      <c r="J66" s="28"/>
      <c r="N66" s="8">
        <v>0</v>
      </c>
      <c r="O66" s="9">
        <v>60</v>
      </c>
      <c r="P66" s="5" t="s">
        <v>16</v>
      </c>
      <c r="Q66" s="19"/>
      <c r="R66" s="17"/>
      <c r="U66" s="19"/>
      <c r="V66" s="17"/>
      <c r="Y66" s="19"/>
      <c r="Z66" s="17"/>
      <c r="AC66" s="19"/>
    </row>
    <row r="67" spans="2:29" ht="15" customHeight="1" x14ac:dyDescent="0.2">
      <c r="B67" s="11"/>
      <c r="C67" s="11"/>
      <c r="D67" s="11"/>
      <c r="E67" s="11"/>
      <c r="F67" s="11"/>
      <c r="G67" s="11"/>
      <c r="H67" s="29"/>
      <c r="I67" s="29"/>
      <c r="J67" s="29"/>
      <c r="K67" s="13"/>
      <c r="L67" s="12"/>
      <c r="M67" s="13"/>
      <c r="N67" s="13">
        <v>0</v>
      </c>
      <c r="O67" s="14">
        <v>60</v>
      </c>
      <c r="P67" s="11" t="s">
        <v>16</v>
      </c>
      <c r="Q67" s="20"/>
      <c r="R67" s="16"/>
      <c r="U67" s="20"/>
      <c r="V67" s="16"/>
      <c r="Y67" s="20"/>
      <c r="Z67" s="16"/>
      <c r="AC67" s="20"/>
    </row>
    <row r="68" spans="2:29" ht="15" customHeight="1" x14ac:dyDescent="0.2">
      <c r="B68" s="21"/>
      <c r="C68" s="21"/>
      <c r="D68" s="21"/>
      <c r="E68" s="21"/>
      <c r="F68" s="21"/>
      <c r="G68" s="21"/>
      <c r="H68" s="30"/>
      <c r="I68" s="30"/>
      <c r="J68" s="30"/>
      <c r="K68" s="21"/>
      <c r="L68" s="21"/>
      <c r="M68" s="21"/>
      <c r="N68" s="21">
        <v>0</v>
      </c>
      <c r="O68" s="21">
        <v>60</v>
      </c>
      <c r="P68" s="21" t="s">
        <v>16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2:29" ht="15" customHeight="1" x14ac:dyDescent="0.2">
      <c r="B69" s="10"/>
      <c r="C69" s="10"/>
      <c r="D69" s="10"/>
      <c r="E69" s="10"/>
      <c r="F69" s="10"/>
      <c r="G69" s="10"/>
      <c r="H69" s="28"/>
      <c r="I69" s="28"/>
      <c r="J69" s="28"/>
      <c r="K69" s="10"/>
      <c r="L69" s="10"/>
      <c r="M69" s="10"/>
      <c r="N69" s="10"/>
      <c r="O69" s="10"/>
      <c r="P69" s="10"/>
      <c r="Q69" s="19"/>
      <c r="R69" s="17"/>
      <c r="U69" s="19"/>
      <c r="V69" s="17"/>
      <c r="Y69" s="19"/>
      <c r="Z69" s="17"/>
      <c r="AC69" s="19"/>
    </row>
    <row r="70" spans="2:29" ht="15" customHeight="1" x14ac:dyDescent="0.2">
      <c r="B70" s="5" t="s">
        <v>45</v>
      </c>
      <c r="C70" s="5" t="s">
        <v>15</v>
      </c>
      <c r="D70" s="5" t="s">
        <v>16</v>
      </c>
      <c r="E70" s="5" t="s">
        <v>20</v>
      </c>
      <c r="F70" s="5" t="s">
        <v>269</v>
      </c>
      <c r="G70" s="5" t="s">
        <v>17</v>
      </c>
      <c r="H70" s="6">
        <v>20.8711630840581</v>
      </c>
      <c r="I70" s="28">
        <f>AVERAGE(H70:H72)</f>
        <v>20.763348551654367</v>
      </c>
      <c r="J70" s="28">
        <f>_xlfn.STDEV.S(H70:H72)</f>
        <v>9.4072231639634019E-2</v>
      </c>
      <c r="N70" s="8">
        <v>0</v>
      </c>
      <c r="O70" s="9">
        <v>60</v>
      </c>
      <c r="P70" s="5" t="s">
        <v>16</v>
      </c>
      <c r="Q70" s="19"/>
      <c r="R70" s="17"/>
      <c r="U70" s="19"/>
      <c r="V70" s="17"/>
      <c r="Y70" s="19"/>
      <c r="Z70" s="17"/>
      <c r="AC70" s="19"/>
    </row>
    <row r="71" spans="2:29" x14ac:dyDescent="0.2">
      <c r="B71" s="5" t="s">
        <v>47</v>
      </c>
      <c r="C71" s="5" t="s">
        <v>15</v>
      </c>
      <c r="D71" s="5" t="s">
        <v>16</v>
      </c>
      <c r="E71" s="5" t="s">
        <v>20</v>
      </c>
      <c r="F71" s="5" t="s">
        <v>269</v>
      </c>
      <c r="G71" s="5" t="s">
        <v>18</v>
      </c>
      <c r="H71" s="6">
        <v>20.7209131953887</v>
      </c>
      <c r="I71" s="28"/>
      <c r="J71" s="28"/>
      <c r="Q71" s="19"/>
      <c r="R71" s="17"/>
      <c r="U71" s="19"/>
      <c r="V71" s="17"/>
      <c r="Y71" s="19"/>
      <c r="Z71" s="17"/>
      <c r="AC71" s="19"/>
    </row>
    <row r="72" spans="2:29" ht="15" customHeight="1" x14ac:dyDescent="0.2">
      <c r="B72" s="5" t="s">
        <v>48</v>
      </c>
      <c r="C72" s="5" t="s">
        <v>15</v>
      </c>
      <c r="D72" s="5" t="s">
        <v>16</v>
      </c>
      <c r="E72" s="5" t="s">
        <v>20</v>
      </c>
      <c r="F72" s="5" t="s">
        <v>269</v>
      </c>
      <c r="G72" s="5" t="s">
        <v>19</v>
      </c>
      <c r="H72" s="6">
        <v>20.697969375516301</v>
      </c>
      <c r="I72" s="28"/>
      <c r="J72" s="28"/>
      <c r="Q72" s="19"/>
      <c r="R72" s="17"/>
      <c r="U72" s="19"/>
      <c r="V72" s="17"/>
      <c r="Y72" s="19"/>
      <c r="Z72" s="17"/>
      <c r="AC72" s="19"/>
    </row>
    <row r="73" spans="2:29" ht="15" customHeight="1" x14ac:dyDescent="0.2">
      <c r="H73" s="28"/>
      <c r="I73" s="28"/>
      <c r="J73" s="28"/>
      <c r="N73" s="8">
        <v>0</v>
      </c>
      <c r="O73" s="9">
        <v>60</v>
      </c>
      <c r="P73" s="5" t="s">
        <v>16</v>
      </c>
      <c r="Q73" s="19"/>
      <c r="R73" s="17"/>
      <c r="U73" s="19"/>
      <c r="V73" s="17"/>
      <c r="Y73" s="19"/>
      <c r="Z73" s="17"/>
      <c r="AC73" s="19"/>
    </row>
    <row r="74" spans="2:29" ht="15" customHeight="1" x14ac:dyDescent="0.2">
      <c r="B74" s="5" t="s">
        <v>49</v>
      </c>
      <c r="C74" s="5" t="s">
        <v>15</v>
      </c>
      <c r="D74" s="5" t="s">
        <v>16</v>
      </c>
      <c r="E74" s="5" t="s">
        <v>20</v>
      </c>
      <c r="F74" s="5" t="s">
        <v>245</v>
      </c>
      <c r="G74" s="5" t="s">
        <v>17</v>
      </c>
      <c r="H74" s="6">
        <v>24.38</v>
      </c>
      <c r="I74" s="28">
        <f>AVERAGE(H74:H76)</f>
        <v>24.256666666666664</v>
      </c>
      <c r="J74" s="28">
        <f>_xlfn.STDEV.S(H74:H76)</f>
        <v>0.10969655114602785</v>
      </c>
      <c r="N74" s="8">
        <v>0</v>
      </c>
      <c r="O74" s="9">
        <v>60</v>
      </c>
      <c r="P74" s="5" t="s">
        <v>16</v>
      </c>
      <c r="Q74" s="19"/>
      <c r="R74" s="17"/>
      <c r="U74" s="19"/>
      <c r="V74" s="17"/>
      <c r="Y74" s="19"/>
      <c r="Z74" s="17"/>
      <c r="AC74" s="19"/>
    </row>
    <row r="75" spans="2:29" x14ac:dyDescent="0.2">
      <c r="B75" s="5" t="s">
        <v>51</v>
      </c>
      <c r="C75" s="5" t="s">
        <v>15</v>
      </c>
      <c r="D75" s="5" t="s">
        <v>16</v>
      </c>
      <c r="E75" s="5" t="s">
        <v>20</v>
      </c>
      <c r="F75" s="5" t="s">
        <v>245</v>
      </c>
      <c r="G75" s="5" t="s">
        <v>18</v>
      </c>
      <c r="H75" s="6">
        <v>24.22</v>
      </c>
      <c r="I75" s="28"/>
      <c r="J75" s="28"/>
      <c r="N75" s="8">
        <v>0</v>
      </c>
      <c r="O75" s="9">
        <v>60</v>
      </c>
      <c r="P75" s="5" t="s">
        <v>16</v>
      </c>
      <c r="Q75" s="19"/>
      <c r="R75" s="17"/>
      <c r="U75" s="19"/>
      <c r="V75" s="17"/>
      <c r="Y75" s="19"/>
      <c r="Z75" s="17"/>
      <c r="AC75" s="19"/>
    </row>
    <row r="76" spans="2:29" x14ac:dyDescent="0.2">
      <c r="B76" s="5" t="s">
        <v>52</v>
      </c>
      <c r="C76" s="5" t="s">
        <v>15</v>
      </c>
      <c r="D76" s="5" t="s">
        <v>16</v>
      </c>
      <c r="E76" s="5" t="s">
        <v>20</v>
      </c>
      <c r="F76" s="5" t="s">
        <v>245</v>
      </c>
      <c r="G76" s="5" t="s">
        <v>19</v>
      </c>
      <c r="H76" s="6">
        <v>24.17</v>
      </c>
      <c r="I76" s="28"/>
      <c r="J76" s="28"/>
      <c r="N76" s="8">
        <v>0</v>
      </c>
      <c r="O76" s="9">
        <v>60</v>
      </c>
      <c r="P76" s="5" t="s">
        <v>16</v>
      </c>
      <c r="Q76" s="19"/>
      <c r="R76" s="17"/>
      <c r="U76" s="19"/>
      <c r="V76" s="17"/>
      <c r="Y76" s="19"/>
      <c r="Z76" s="17"/>
      <c r="AC76" s="19"/>
    </row>
    <row r="77" spans="2:29" x14ac:dyDescent="0.2">
      <c r="H77" s="28"/>
      <c r="I77" s="28"/>
      <c r="J77" s="28"/>
      <c r="N77" s="8">
        <v>0</v>
      </c>
      <c r="O77" s="9">
        <v>60</v>
      </c>
      <c r="P77" s="5" t="s">
        <v>16</v>
      </c>
      <c r="Q77" s="19"/>
      <c r="R77" s="17"/>
      <c r="U77" s="19"/>
      <c r="V77" s="17"/>
      <c r="Y77" s="19"/>
      <c r="Z77" s="17"/>
      <c r="AC77" s="19"/>
    </row>
    <row r="78" spans="2:29" x14ac:dyDescent="0.2">
      <c r="B78" s="5" t="s">
        <v>301</v>
      </c>
      <c r="C78" s="5" t="s">
        <v>15</v>
      </c>
      <c r="D78" s="5" t="s">
        <v>16</v>
      </c>
      <c r="E78" s="5" t="s">
        <v>20</v>
      </c>
      <c r="F78" s="5" t="s">
        <v>246</v>
      </c>
      <c r="G78" s="5" t="s">
        <v>17</v>
      </c>
      <c r="H78" s="6">
        <v>23.413446766721201</v>
      </c>
      <c r="I78" s="28">
        <f>AVERAGE(H78:H80)</f>
        <v>23.420763832922631</v>
      </c>
      <c r="J78" s="28">
        <f>_xlfn.STDEV.S(H78:H80)</f>
        <v>2.2664938138758649E-2</v>
      </c>
      <c r="N78" s="8">
        <v>0</v>
      </c>
      <c r="O78" s="9">
        <v>60</v>
      </c>
      <c r="P78" s="5" t="s">
        <v>16</v>
      </c>
      <c r="Q78" s="19"/>
      <c r="R78" s="17"/>
      <c r="U78" s="19"/>
      <c r="V78" s="17"/>
      <c r="Y78" s="19"/>
      <c r="Z78" s="17"/>
      <c r="AC78" s="19"/>
    </row>
    <row r="79" spans="2:29" x14ac:dyDescent="0.2">
      <c r="B79" s="5" t="s">
        <v>302</v>
      </c>
      <c r="C79" s="5" t="s">
        <v>15</v>
      </c>
      <c r="D79" s="5" t="s">
        <v>16</v>
      </c>
      <c r="E79" s="5" t="s">
        <v>20</v>
      </c>
      <c r="F79" s="5" t="s">
        <v>246</v>
      </c>
      <c r="G79" s="5" t="s">
        <v>18</v>
      </c>
      <c r="H79" s="6">
        <v>23.402661280859999</v>
      </c>
      <c r="I79" s="28"/>
      <c r="J79" s="28"/>
      <c r="N79" s="8">
        <v>0</v>
      </c>
      <c r="O79" s="9">
        <v>60</v>
      </c>
      <c r="P79" s="5" t="s">
        <v>16</v>
      </c>
      <c r="Q79" s="19"/>
      <c r="R79" s="17"/>
      <c r="U79" s="19"/>
      <c r="V79" s="17"/>
      <c r="Y79" s="19"/>
      <c r="Z79" s="17"/>
      <c r="AC79" s="19"/>
    </row>
    <row r="80" spans="2:29" x14ac:dyDescent="0.2">
      <c r="B80" s="5" t="s">
        <v>303</v>
      </c>
      <c r="C80" s="5" t="s">
        <v>15</v>
      </c>
      <c r="D80" s="5" t="s">
        <v>16</v>
      </c>
      <c r="E80" s="5" t="s">
        <v>20</v>
      </c>
      <c r="F80" s="5" t="s">
        <v>246</v>
      </c>
      <c r="G80" s="5" t="s">
        <v>19</v>
      </c>
      <c r="H80" s="6">
        <v>23.446183451186702</v>
      </c>
      <c r="I80" s="28"/>
      <c r="J80" s="28"/>
      <c r="N80" s="8">
        <v>0</v>
      </c>
      <c r="O80" s="9">
        <v>60</v>
      </c>
      <c r="P80" s="5" t="s">
        <v>16</v>
      </c>
      <c r="Q80" s="19"/>
      <c r="R80" s="17"/>
      <c r="U80" s="19"/>
      <c r="V80" s="17"/>
      <c r="Y80" s="19"/>
      <c r="Z80" s="17"/>
      <c r="AC80" s="19"/>
    </row>
    <row r="81" spans="2:29" x14ac:dyDescent="0.2">
      <c r="B81" s="10"/>
      <c r="C81" s="10"/>
      <c r="D81" s="10"/>
      <c r="E81" s="10"/>
      <c r="F81" s="10"/>
      <c r="H81" s="28"/>
      <c r="I81" s="28"/>
      <c r="J81" s="28"/>
      <c r="N81" s="8">
        <v>0</v>
      </c>
      <c r="O81" s="9">
        <v>60</v>
      </c>
      <c r="P81" s="5" t="s">
        <v>16</v>
      </c>
      <c r="Q81" s="19"/>
      <c r="R81" s="17"/>
      <c r="U81" s="19"/>
      <c r="V81" s="17"/>
      <c r="Y81" s="19"/>
      <c r="Z81" s="17"/>
      <c r="AC81" s="19"/>
    </row>
    <row r="82" spans="2:29" x14ac:dyDescent="0.2">
      <c r="B82" s="5" t="s">
        <v>304</v>
      </c>
      <c r="C82" s="5" t="s">
        <v>15</v>
      </c>
      <c r="D82" s="5" t="s">
        <v>16</v>
      </c>
      <c r="E82" s="5" t="s">
        <v>20</v>
      </c>
      <c r="F82" s="5" t="s">
        <v>247</v>
      </c>
      <c r="G82" s="5" t="s">
        <v>17</v>
      </c>
      <c r="H82" s="6">
        <v>24.088028213561799</v>
      </c>
      <c r="I82" s="28">
        <f>AVERAGE(H82:H84)</f>
        <v>24.097231759078898</v>
      </c>
      <c r="J82" s="28">
        <f>_xlfn.STDEV.S(H82:H84)</f>
        <v>4.5357017065531781E-2</v>
      </c>
      <c r="N82" s="8">
        <v>0</v>
      </c>
      <c r="O82" s="9">
        <v>60</v>
      </c>
      <c r="P82" s="5" t="s">
        <v>16</v>
      </c>
      <c r="Q82" s="19"/>
      <c r="R82" s="17"/>
      <c r="U82" s="19"/>
      <c r="V82" s="17"/>
      <c r="Y82" s="19"/>
      <c r="Z82" s="17"/>
      <c r="AC82" s="19"/>
    </row>
    <row r="83" spans="2:29" x14ac:dyDescent="0.2">
      <c r="B83" s="5" t="s">
        <v>305</v>
      </c>
      <c r="C83" s="5" t="s">
        <v>15</v>
      </c>
      <c r="D83" s="5" t="s">
        <v>16</v>
      </c>
      <c r="E83" s="5" t="s">
        <v>20</v>
      </c>
      <c r="F83" s="5" t="s">
        <v>247</v>
      </c>
      <c r="G83" s="5" t="s">
        <v>18</v>
      </c>
      <c r="H83" s="6">
        <v>24.146484736295101</v>
      </c>
      <c r="I83" s="28"/>
      <c r="J83" s="28"/>
      <c r="N83" s="8">
        <v>0</v>
      </c>
      <c r="O83" s="9">
        <v>60</v>
      </c>
      <c r="P83" s="5" t="s">
        <v>16</v>
      </c>
      <c r="Q83" s="19"/>
      <c r="R83" s="17"/>
      <c r="U83" s="19"/>
      <c r="V83" s="17"/>
      <c r="Y83" s="19"/>
      <c r="Z83" s="17"/>
      <c r="AC83" s="19"/>
    </row>
    <row r="84" spans="2:29" x14ac:dyDescent="0.2">
      <c r="B84" s="5" t="s">
        <v>306</v>
      </c>
      <c r="C84" s="5" t="s">
        <v>15</v>
      </c>
      <c r="D84" s="5" t="s">
        <v>16</v>
      </c>
      <c r="E84" s="5" t="s">
        <v>20</v>
      </c>
      <c r="F84" s="5" t="s">
        <v>247</v>
      </c>
      <c r="G84" s="5" t="s">
        <v>19</v>
      </c>
      <c r="H84" s="6">
        <v>24.057182327379799</v>
      </c>
      <c r="I84" s="28"/>
      <c r="J84" s="28"/>
      <c r="N84" s="8">
        <v>0</v>
      </c>
      <c r="O84" s="9">
        <v>60</v>
      </c>
      <c r="P84" s="5" t="s">
        <v>16</v>
      </c>
      <c r="Q84" s="19"/>
      <c r="R84" s="17"/>
      <c r="U84" s="19"/>
      <c r="V84" s="17"/>
      <c r="Y84" s="19"/>
      <c r="Z84" s="17"/>
      <c r="AC84" s="19"/>
    </row>
    <row r="85" spans="2:29" x14ac:dyDescent="0.2">
      <c r="B85" s="10"/>
      <c r="C85" s="10"/>
      <c r="D85" s="10"/>
      <c r="E85" s="10"/>
      <c r="F85" s="10"/>
      <c r="H85" s="28"/>
      <c r="I85" s="28"/>
      <c r="J85" s="28"/>
      <c r="N85" s="8">
        <v>0</v>
      </c>
      <c r="O85" s="9">
        <v>60</v>
      </c>
      <c r="P85" s="5" t="s">
        <v>16</v>
      </c>
      <c r="Q85" s="19"/>
      <c r="R85" s="17"/>
      <c r="U85" s="19"/>
      <c r="V85" s="17"/>
      <c r="Y85" s="19"/>
      <c r="Z85" s="17"/>
      <c r="AC85" s="19"/>
    </row>
    <row r="86" spans="2:29" x14ac:dyDescent="0.2">
      <c r="B86" s="5" t="s">
        <v>307</v>
      </c>
      <c r="C86" s="5" t="s">
        <v>15</v>
      </c>
      <c r="D86" s="5" t="s">
        <v>16</v>
      </c>
      <c r="E86" s="5" t="s">
        <v>20</v>
      </c>
      <c r="F86" s="5" t="s">
        <v>248</v>
      </c>
      <c r="G86" s="5" t="s">
        <v>17</v>
      </c>
      <c r="H86" s="6">
        <v>23.003329470406999</v>
      </c>
      <c r="I86" s="28">
        <f>AVERAGE(H86:H88)</f>
        <v>23.022546586421132</v>
      </c>
      <c r="J86" s="28">
        <f>_xlfn.STDEV.S(H86:H88)</f>
        <v>4.560114188433171E-2</v>
      </c>
      <c r="N86" s="8">
        <v>0</v>
      </c>
      <c r="O86" s="9">
        <v>60</v>
      </c>
      <c r="P86" s="5" t="s">
        <v>16</v>
      </c>
      <c r="Q86" s="19"/>
      <c r="R86" s="17"/>
      <c r="U86" s="19"/>
      <c r="V86" s="17"/>
      <c r="Y86" s="19"/>
      <c r="Z86" s="17"/>
      <c r="AC86" s="19"/>
    </row>
    <row r="87" spans="2:29" x14ac:dyDescent="0.2">
      <c r="B87" s="5" t="s">
        <v>308</v>
      </c>
      <c r="C87" s="5" t="s">
        <v>15</v>
      </c>
      <c r="D87" s="5" t="s">
        <v>16</v>
      </c>
      <c r="E87" s="5" t="s">
        <v>20</v>
      </c>
      <c r="F87" s="5" t="s">
        <v>248</v>
      </c>
      <c r="G87" s="5" t="s">
        <v>18</v>
      </c>
      <c r="H87" s="6">
        <v>22.989699391222899</v>
      </c>
      <c r="I87" s="28"/>
      <c r="J87" s="28"/>
      <c r="N87" s="8">
        <v>0</v>
      </c>
      <c r="O87" s="9">
        <v>60</v>
      </c>
      <c r="P87" s="5" t="s">
        <v>16</v>
      </c>
      <c r="Q87" s="19"/>
      <c r="R87" s="17"/>
      <c r="U87" s="19"/>
      <c r="V87" s="17"/>
      <c r="Y87" s="19"/>
      <c r="Z87" s="17"/>
      <c r="AC87" s="19"/>
    </row>
    <row r="88" spans="2:29" x14ac:dyDescent="0.2">
      <c r="B88" s="5" t="s">
        <v>309</v>
      </c>
      <c r="C88" s="5" t="s">
        <v>15</v>
      </c>
      <c r="D88" s="5" t="s">
        <v>16</v>
      </c>
      <c r="E88" s="5" t="s">
        <v>20</v>
      </c>
      <c r="F88" s="5" t="s">
        <v>248</v>
      </c>
      <c r="G88" s="5" t="s">
        <v>19</v>
      </c>
      <c r="H88" s="6">
        <v>23.074610897633502</v>
      </c>
      <c r="I88" s="28"/>
      <c r="J88" s="28"/>
      <c r="N88" s="8">
        <v>0</v>
      </c>
      <c r="O88" s="9">
        <v>60</v>
      </c>
      <c r="P88" s="5" t="s">
        <v>16</v>
      </c>
      <c r="Q88" s="19"/>
      <c r="R88" s="17"/>
      <c r="U88" s="19"/>
      <c r="V88" s="17"/>
      <c r="Y88" s="19"/>
      <c r="Z88" s="17"/>
      <c r="AC88" s="19"/>
    </row>
    <row r="89" spans="2:29" x14ac:dyDescent="0.2">
      <c r="H89" s="28"/>
      <c r="I89" s="28"/>
      <c r="J89" s="28"/>
      <c r="Q89" s="19"/>
      <c r="R89" s="17"/>
      <c r="U89" s="19"/>
      <c r="V89" s="17"/>
      <c r="Y89" s="19"/>
      <c r="Z89" s="17"/>
      <c r="AC89" s="19"/>
    </row>
    <row r="90" spans="2:29" x14ac:dyDescent="0.2">
      <c r="B90" s="5" t="s">
        <v>310</v>
      </c>
      <c r="C90" s="5" t="s">
        <v>15</v>
      </c>
      <c r="D90" s="5" t="s">
        <v>16</v>
      </c>
      <c r="E90" s="5" t="s">
        <v>20</v>
      </c>
      <c r="F90" s="5" t="s">
        <v>249</v>
      </c>
      <c r="G90" s="5" t="s">
        <v>17</v>
      </c>
      <c r="H90" s="6">
        <v>21.563783699494699</v>
      </c>
      <c r="I90" s="28">
        <f>AVERAGE(H90:H92)</f>
        <v>21.526798872261065</v>
      </c>
      <c r="J90" s="28">
        <f>_xlfn.STDEV.S(H90:H92)</f>
        <v>3.2262304146319754E-2</v>
      </c>
      <c r="N90" s="8">
        <v>0</v>
      </c>
      <c r="O90" s="9">
        <v>60</v>
      </c>
      <c r="P90" s="5" t="s">
        <v>16</v>
      </c>
      <c r="Q90" s="19"/>
      <c r="R90" s="17"/>
      <c r="U90" s="19"/>
      <c r="V90" s="17"/>
      <c r="Y90" s="19"/>
      <c r="Z90" s="17"/>
      <c r="AC90" s="19"/>
    </row>
    <row r="91" spans="2:29" x14ac:dyDescent="0.2">
      <c r="B91" s="5" t="s">
        <v>311</v>
      </c>
      <c r="C91" s="5" t="s">
        <v>15</v>
      </c>
      <c r="D91" s="5" t="s">
        <v>16</v>
      </c>
      <c r="E91" s="5" t="s">
        <v>20</v>
      </c>
      <c r="F91" s="5" t="s">
        <v>249</v>
      </c>
      <c r="G91" s="5" t="s">
        <v>18</v>
      </c>
      <c r="H91" s="6">
        <v>21.504440170410899</v>
      </c>
      <c r="I91" s="28"/>
      <c r="J91" s="28"/>
      <c r="N91" s="8">
        <v>0</v>
      </c>
      <c r="O91" s="9">
        <v>60</v>
      </c>
      <c r="P91" s="5" t="s">
        <v>16</v>
      </c>
      <c r="Q91" s="19"/>
      <c r="R91" s="17"/>
      <c r="U91" s="19"/>
      <c r="V91" s="17"/>
      <c r="Y91" s="19"/>
      <c r="Z91" s="17"/>
      <c r="AC91" s="19"/>
    </row>
    <row r="92" spans="2:29" x14ac:dyDescent="0.2">
      <c r="B92" s="5" t="s">
        <v>312</v>
      </c>
      <c r="C92" s="5" t="s">
        <v>15</v>
      </c>
      <c r="D92" s="5" t="s">
        <v>16</v>
      </c>
      <c r="E92" s="5" t="s">
        <v>20</v>
      </c>
      <c r="F92" s="5" t="s">
        <v>249</v>
      </c>
      <c r="G92" s="5" t="s">
        <v>19</v>
      </c>
      <c r="H92" s="6">
        <v>21.512172746877599</v>
      </c>
      <c r="I92" s="28"/>
      <c r="J92" s="28"/>
      <c r="N92" s="8">
        <v>0</v>
      </c>
      <c r="O92" s="9">
        <v>60</v>
      </c>
      <c r="P92" s="5" t="s">
        <v>16</v>
      </c>
      <c r="Q92" s="19"/>
      <c r="R92" s="17"/>
      <c r="U92" s="19"/>
      <c r="V92" s="17"/>
      <c r="Y92" s="19"/>
      <c r="Z92" s="17"/>
      <c r="AC92" s="19"/>
    </row>
    <row r="93" spans="2:29" x14ac:dyDescent="0.2">
      <c r="H93" s="28"/>
      <c r="I93" s="28"/>
      <c r="J93" s="28"/>
      <c r="Q93" s="19"/>
      <c r="R93" s="17"/>
      <c r="U93" s="19"/>
      <c r="V93" s="17"/>
      <c r="Y93" s="19"/>
      <c r="Z93" s="17"/>
      <c r="AC93" s="19"/>
    </row>
    <row r="94" spans="2:29" x14ac:dyDescent="0.2">
      <c r="B94" s="5" t="s">
        <v>53</v>
      </c>
      <c r="C94" s="5" t="s">
        <v>15</v>
      </c>
      <c r="D94" s="5" t="s">
        <v>16</v>
      </c>
      <c r="E94" s="5" t="s">
        <v>20</v>
      </c>
      <c r="F94" s="5" t="s">
        <v>250</v>
      </c>
      <c r="G94" s="5" t="s">
        <v>17</v>
      </c>
      <c r="H94" s="6">
        <v>22.884690243321899</v>
      </c>
      <c r="I94" s="28">
        <f>AVERAGE(H94:H96)</f>
        <v>22.836019102059936</v>
      </c>
      <c r="J94" s="28">
        <f>_xlfn.STDEV.S(H94:H96)</f>
        <v>5.2576672615138105E-2</v>
      </c>
      <c r="N94" s="8">
        <v>0</v>
      </c>
      <c r="O94" s="9">
        <v>60</v>
      </c>
      <c r="P94" s="5" t="s">
        <v>16</v>
      </c>
      <c r="Q94" s="19"/>
      <c r="R94" s="17"/>
      <c r="U94" s="19"/>
      <c r="V94" s="17"/>
      <c r="Y94" s="19"/>
      <c r="Z94" s="17"/>
      <c r="AC94" s="19"/>
    </row>
    <row r="95" spans="2:29" x14ac:dyDescent="0.2">
      <c r="B95" s="5" t="s">
        <v>54</v>
      </c>
      <c r="C95" s="5" t="s">
        <v>15</v>
      </c>
      <c r="D95" s="5" t="s">
        <v>16</v>
      </c>
      <c r="E95" s="5" t="s">
        <v>20</v>
      </c>
      <c r="F95" s="5" t="s">
        <v>250</v>
      </c>
      <c r="G95" s="5" t="s">
        <v>18</v>
      </c>
      <c r="H95" s="6">
        <v>22.843110375201</v>
      </c>
      <c r="I95" s="28"/>
      <c r="J95" s="28"/>
      <c r="N95" s="8">
        <v>0</v>
      </c>
      <c r="O95" s="9">
        <v>60</v>
      </c>
      <c r="P95" s="5" t="s">
        <v>16</v>
      </c>
      <c r="Q95" s="19"/>
      <c r="R95" s="17"/>
      <c r="U95" s="19"/>
      <c r="V95" s="17"/>
      <c r="Y95" s="19"/>
      <c r="Z95" s="17"/>
      <c r="AC95" s="19"/>
    </row>
    <row r="96" spans="2:29" x14ac:dyDescent="0.2">
      <c r="B96" s="5" t="s">
        <v>55</v>
      </c>
      <c r="C96" s="5" t="s">
        <v>15</v>
      </c>
      <c r="D96" s="5" t="s">
        <v>16</v>
      </c>
      <c r="E96" s="5" t="s">
        <v>20</v>
      </c>
      <c r="F96" s="5" t="s">
        <v>250</v>
      </c>
      <c r="G96" s="5" t="s">
        <v>19</v>
      </c>
      <c r="H96" s="6">
        <v>22.780256687656902</v>
      </c>
      <c r="I96" s="28"/>
      <c r="J96" s="28"/>
      <c r="N96" s="8">
        <v>0</v>
      </c>
      <c r="O96" s="9">
        <v>60</v>
      </c>
      <c r="P96" s="5" t="s">
        <v>16</v>
      </c>
      <c r="Q96" s="19"/>
      <c r="R96" s="17"/>
      <c r="U96" s="19"/>
      <c r="V96" s="17"/>
      <c r="Y96" s="19"/>
      <c r="Z96" s="17"/>
      <c r="AC96" s="19"/>
    </row>
    <row r="97" spans="2:29" x14ac:dyDescent="0.2">
      <c r="H97" s="28"/>
      <c r="I97" s="28"/>
      <c r="J97" s="28"/>
      <c r="Q97" s="19"/>
      <c r="R97" s="17"/>
      <c r="U97" s="19"/>
      <c r="V97" s="17"/>
      <c r="Y97" s="19"/>
      <c r="Z97" s="17"/>
      <c r="AC97" s="19"/>
    </row>
    <row r="98" spans="2:29" x14ac:dyDescent="0.2">
      <c r="B98" s="5" t="s">
        <v>56</v>
      </c>
      <c r="C98" s="5" t="s">
        <v>15</v>
      </c>
      <c r="D98" s="5" t="s">
        <v>16</v>
      </c>
      <c r="E98" s="5" t="s">
        <v>20</v>
      </c>
      <c r="F98" s="5" t="s">
        <v>251</v>
      </c>
      <c r="G98" s="5" t="s">
        <v>17</v>
      </c>
      <c r="H98" s="6">
        <v>23.356319352204</v>
      </c>
      <c r="I98" s="28">
        <f>AVERAGE(H98:H100)</f>
        <v>23.300047824247468</v>
      </c>
      <c r="J98" s="28">
        <f>_xlfn.STDEV.S(H98:H100)</f>
        <v>4.956933068958707E-2</v>
      </c>
      <c r="N98" s="8">
        <v>0</v>
      </c>
      <c r="O98" s="9">
        <v>60</v>
      </c>
      <c r="P98" s="5" t="s">
        <v>16</v>
      </c>
      <c r="Q98" s="19"/>
      <c r="R98" s="17"/>
      <c r="U98" s="19"/>
      <c r="V98" s="17"/>
      <c r="Y98" s="19"/>
      <c r="Z98" s="17"/>
      <c r="AC98" s="19"/>
    </row>
    <row r="99" spans="2:29" x14ac:dyDescent="0.2">
      <c r="B99" s="5" t="s">
        <v>57</v>
      </c>
      <c r="C99" s="5" t="s">
        <v>15</v>
      </c>
      <c r="D99" s="5" t="s">
        <v>16</v>
      </c>
      <c r="E99" s="5" t="s">
        <v>20</v>
      </c>
      <c r="F99" s="5" t="s">
        <v>251</v>
      </c>
      <c r="G99" s="5" t="s">
        <v>18</v>
      </c>
      <c r="H99" s="6">
        <v>23.2809815090447</v>
      </c>
      <c r="I99" s="28"/>
      <c r="J99" s="28"/>
      <c r="N99" s="8">
        <v>0</v>
      </c>
      <c r="O99" s="9">
        <v>60</v>
      </c>
      <c r="P99" s="5" t="s">
        <v>16</v>
      </c>
      <c r="Q99" s="19"/>
      <c r="R99" s="17"/>
      <c r="U99" s="19"/>
      <c r="V99" s="17"/>
      <c r="Y99" s="19"/>
      <c r="Z99" s="17"/>
      <c r="AC99" s="19"/>
    </row>
    <row r="100" spans="2:29" x14ac:dyDescent="0.2">
      <c r="B100" s="5" t="s">
        <v>58</v>
      </c>
      <c r="C100" s="5" t="s">
        <v>15</v>
      </c>
      <c r="D100" s="5" t="s">
        <v>16</v>
      </c>
      <c r="E100" s="5" t="s">
        <v>20</v>
      </c>
      <c r="F100" s="5" t="s">
        <v>251</v>
      </c>
      <c r="G100" s="5" t="s">
        <v>19</v>
      </c>
      <c r="H100" s="6">
        <v>23.262842611493699</v>
      </c>
      <c r="I100" s="28"/>
      <c r="J100" s="28"/>
      <c r="N100" s="8">
        <v>0</v>
      </c>
      <c r="O100" s="9">
        <v>60</v>
      </c>
      <c r="P100" s="5" t="s">
        <v>16</v>
      </c>
      <c r="Q100" s="19"/>
      <c r="R100" s="17"/>
      <c r="U100" s="19"/>
      <c r="V100" s="17"/>
      <c r="Y100" s="19"/>
      <c r="Z100" s="17"/>
      <c r="AC100" s="19"/>
    </row>
    <row r="101" spans="2:29" ht="19" x14ac:dyDescent="0.2">
      <c r="B101" s="11"/>
      <c r="C101" s="11"/>
      <c r="D101" s="11"/>
      <c r="E101" s="11"/>
      <c r="F101" s="11"/>
      <c r="G101" s="11"/>
      <c r="H101" s="29"/>
      <c r="I101" s="29"/>
      <c r="J101" s="29"/>
      <c r="K101" s="13"/>
      <c r="L101" s="12"/>
      <c r="M101" s="13"/>
      <c r="N101" s="13">
        <v>0</v>
      </c>
      <c r="O101" s="14">
        <v>60</v>
      </c>
      <c r="P101" s="11" t="s">
        <v>16</v>
      </c>
      <c r="Q101" s="20"/>
      <c r="R101" s="16"/>
      <c r="U101" s="20"/>
      <c r="V101" s="16"/>
      <c r="Y101" s="20"/>
      <c r="Z101" s="16"/>
      <c r="AC101" s="20"/>
    </row>
    <row r="102" spans="2:29" x14ac:dyDescent="0.2">
      <c r="B102" s="21"/>
      <c r="C102" s="21"/>
      <c r="D102" s="21"/>
      <c r="E102" s="21"/>
      <c r="F102" s="21"/>
      <c r="G102" s="21"/>
      <c r="H102" s="30"/>
      <c r="I102" s="30"/>
      <c r="J102" s="30"/>
      <c r="K102" s="21"/>
      <c r="L102" s="21"/>
      <c r="M102" s="21"/>
      <c r="N102" s="21">
        <v>0</v>
      </c>
      <c r="O102" s="21">
        <v>60</v>
      </c>
      <c r="P102" s="21" t="s">
        <v>16</v>
      </c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2:29" x14ac:dyDescent="0.2">
      <c r="B103" s="10"/>
      <c r="C103" s="10"/>
      <c r="D103" s="10"/>
      <c r="E103" s="10"/>
      <c r="F103" s="10"/>
      <c r="G103" s="10"/>
      <c r="H103" s="28"/>
      <c r="I103" s="28"/>
      <c r="J103" s="28"/>
      <c r="K103" s="10"/>
      <c r="L103" s="10"/>
      <c r="M103" s="10"/>
      <c r="N103" s="10"/>
      <c r="O103" s="10"/>
      <c r="P103" s="10"/>
      <c r="Q103" s="19"/>
      <c r="R103" s="17"/>
      <c r="U103" s="19"/>
      <c r="V103" s="17"/>
      <c r="Y103" s="19"/>
      <c r="Z103" s="17"/>
      <c r="AC103" s="19"/>
    </row>
    <row r="104" spans="2:29" x14ac:dyDescent="0.2">
      <c r="B104" s="5" t="s">
        <v>59</v>
      </c>
      <c r="C104" s="5" t="s">
        <v>15</v>
      </c>
      <c r="D104" s="5" t="s">
        <v>16</v>
      </c>
      <c r="E104" s="5" t="s">
        <v>20</v>
      </c>
      <c r="F104" s="5" t="s">
        <v>270</v>
      </c>
      <c r="G104" s="5" t="s">
        <v>17</v>
      </c>
      <c r="H104" s="6">
        <v>20.835023662527099</v>
      </c>
      <c r="I104" s="28">
        <f>AVERAGE(H104:H106)</f>
        <v>20.935972530745769</v>
      </c>
      <c r="J104" s="28">
        <f>_xlfn.STDEV.S(H104:H106)</f>
        <v>0.10332283720950675</v>
      </c>
      <c r="N104" s="8">
        <v>0</v>
      </c>
      <c r="O104" s="9">
        <v>60</v>
      </c>
      <c r="P104" s="5" t="s">
        <v>16</v>
      </c>
      <c r="Q104" s="19"/>
      <c r="R104" s="17"/>
      <c r="U104" s="19"/>
      <c r="V104" s="17"/>
      <c r="Y104" s="19"/>
      <c r="Z104" s="17"/>
      <c r="AC104" s="19"/>
    </row>
    <row r="105" spans="2:29" x14ac:dyDescent="0.2">
      <c r="B105" s="5" t="s">
        <v>60</v>
      </c>
      <c r="C105" s="5" t="s">
        <v>15</v>
      </c>
      <c r="D105" s="5" t="s">
        <v>16</v>
      </c>
      <c r="E105" s="5" t="s">
        <v>20</v>
      </c>
      <c r="F105" s="5" t="s">
        <v>270</v>
      </c>
      <c r="G105" s="5" t="s">
        <v>18</v>
      </c>
      <c r="H105" s="6">
        <v>20.9313778882962</v>
      </c>
      <c r="I105" s="28"/>
      <c r="J105" s="28"/>
      <c r="Q105" s="19"/>
      <c r="R105" s="17"/>
      <c r="U105" s="19"/>
      <c r="V105" s="17"/>
      <c r="Y105" s="19"/>
      <c r="Z105" s="17"/>
      <c r="AC105" s="19"/>
    </row>
    <row r="106" spans="2:29" x14ac:dyDescent="0.2">
      <c r="B106" s="5" t="s">
        <v>61</v>
      </c>
      <c r="C106" s="5" t="s">
        <v>15</v>
      </c>
      <c r="D106" s="5" t="s">
        <v>16</v>
      </c>
      <c r="E106" s="5" t="s">
        <v>20</v>
      </c>
      <c r="F106" s="5" t="s">
        <v>270</v>
      </c>
      <c r="G106" s="5" t="s">
        <v>19</v>
      </c>
      <c r="H106" s="6">
        <v>21.041516041413999</v>
      </c>
      <c r="I106" s="28"/>
      <c r="J106" s="28"/>
      <c r="Q106" s="19"/>
      <c r="R106" s="17"/>
      <c r="U106" s="19"/>
      <c r="V106" s="17"/>
      <c r="Y106" s="19"/>
      <c r="Z106" s="17"/>
      <c r="AC106" s="19"/>
    </row>
    <row r="107" spans="2:29" x14ac:dyDescent="0.2">
      <c r="H107" s="28"/>
      <c r="I107" s="28"/>
      <c r="J107" s="28"/>
      <c r="N107" s="8">
        <v>0</v>
      </c>
      <c r="O107" s="9">
        <v>60</v>
      </c>
      <c r="P107" s="5" t="s">
        <v>16</v>
      </c>
      <c r="Q107" s="19"/>
      <c r="R107" s="17"/>
      <c r="U107" s="19"/>
      <c r="V107" s="17"/>
      <c r="Y107" s="19"/>
      <c r="Z107" s="17"/>
      <c r="AC107" s="19"/>
    </row>
    <row r="108" spans="2:29" x14ac:dyDescent="0.2">
      <c r="B108" s="5" t="s">
        <v>62</v>
      </c>
      <c r="C108" s="5" t="s">
        <v>15</v>
      </c>
      <c r="D108" s="5" t="s">
        <v>16</v>
      </c>
      <c r="E108" s="5" t="s">
        <v>20</v>
      </c>
      <c r="F108" s="5" t="s">
        <v>252</v>
      </c>
      <c r="G108" s="5" t="s">
        <v>17</v>
      </c>
      <c r="H108" s="6">
        <v>24.6255903352213</v>
      </c>
      <c r="I108" s="28">
        <f>AVERAGE(H108:H110)</f>
        <v>24.674434149712301</v>
      </c>
      <c r="J108" s="28">
        <f>_xlfn.STDEV.S(H108:H110)</f>
        <v>8.1612045343495768E-2</v>
      </c>
      <c r="N108" s="8">
        <v>0</v>
      </c>
      <c r="O108" s="9">
        <v>60</v>
      </c>
      <c r="P108" s="5" t="s">
        <v>16</v>
      </c>
      <c r="Q108" s="19"/>
      <c r="R108" s="17"/>
      <c r="U108" s="19"/>
      <c r="V108" s="17"/>
      <c r="Y108" s="19"/>
      <c r="Z108" s="17"/>
      <c r="AC108" s="19"/>
    </row>
    <row r="109" spans="2:29" x14ac:dyDescent="0.2">
      <c r="B109" s="5" t="s">
        <v>63</v>
      </c>
      <c r="C109" s="5" t="s">
        <v>15</v>
      </c>
      <c r="D109" s="5" t="s">
        <v>16</v>
      </c>
      <c r="E109" s="5" t="s">
        <v>20</v>
      </c>
      <c r="F109" s="5" t="s">
        <v>252</v>
      </c>
      <c r="G109" s="5" t="s">
        <v>18</v>
      </c>
      <c r="H109" s="6">
        <v>24.629061807304801</v>
      </c>
      <c r="I109" s="28"/>
      <c r="J109" s="28"/>
      <c r="N109" s="8">
        <v>0</v>
      </c>
      <c r="O109" s="9">
        <v>60</v>
      </c>
      <c r="P109" s="5" t="s">
        <v>16</v>
      </c>
      <c r="Q109" s="19"/>
      <c r="R109" s="17"/>
      <c r="U109" s="19"/>
      <c r="V109" s="17"/>
      <c r="Y109" s="19"/>
      <c r="Z109" s="17"/>
      <c r="AC109" s="19"/>
    </row>
    <row r="110" spans="2:29" x14ac:dyDescent="0.2">
      <c r="B110" s="5" t="s">
        <v>64</v>
      </c>
      <c r="C110" s="5" t="s">
        <v>15</v>
      </c>
      <c r="D110" s="5" t="s">
        <v>16</v>
      </c>
      <c r="E110" s="5" t="s">
        <v>20</v>
      </c>
      <c r="F110" s="5" t="s">
        <v>252</v>
      </c>
      <c r="G110" s="5" t="s">
        <v>19</v>
      </c>
      <c r="H110" s="6">
        <v>24.768650306610802</v>
      </c>
      <c r="I110" s="28"/>
      <c r="J110" s="28"/>
      <c r="N110" s="8">
        <v>0</v>
      </c>
      <c r="O110" s="9">
        <v>60</v>
      </c>
      <c r="P110" s="5" t="s">
        <v>16</v>
      </c>
      <c r="Q110" s="19"/>
      <c r="R110" s="17"/>
      <c r="U110" s="19"/>
      <c r="V110" s="17"/>
      <c r="Y110" s="19"/>
      <c r="Z110" s="17"/>
      <c r="AC110" s="19"/>
    </row>
    <row r="111" spans="2:29" x14ac:dyDescent="0.2">
      <c r="H111" s="28"/>
      <c r="I111" s="28"/>
      <c r="J111" s="28"/>
      <c r="N111" s="8">
        <v>0</v>
      </c>
      <c r="O111" s="9">
        <v>60</v>
      </c>
      <c r="P111" s="5" t="s">
        <v>16</v>
      </c>
      <c r="Q111" s="19"/>
      <c r="R111" s="17"/>
      <c r="U111" s="19"/>
      <c r="V111" s="17"/>
      <c r="Y111" s="19"/>
      <c r="Z111" s="17"/>
      <c r="AC111" s="19"/>
    </row>
    <row r="112" spans="2:29" x14ac:dyDescent="0.2">
      <c r="B112" s="5" t="s">
        <v>65</v>
      </c>
      <c r="C112" s="5" t="s">
        <v>15</v>
      </c>
      <c r="D112" s="5" t="s">
        <v>16</v>
      </c>
      <c r="E112" s="5" t="s">
        <v>20</v>
      </c>
      <c r="F112" s="5" t="s">
        <v>253</v>
      </c>
      <c r="G112" s="5" t="s">
        <v>17</v>
      </c>
      <c r="H112" s="6">
        <v>23.615447035010501</v>
      </c>
      <c r="I112" s="28">
        <f>AVERAGE(H112:H114)</f>
        <v>23.633231520593601</v>
      </c>
      <c r="J112" s="28">
        <f>_xlfn.STDEV.S(H112:H114)</f>
        <v>7.6431623950140706E-2</v>
      </c>
      <c r="N112" s="8">
        <v>0</v>
      </c>
      <c r="O112" s="9">
        <v>60</v>
      </c>
      <c r="P112" s="5" t="s">
        <v>16</v>
      </c>
      <c r="Q112" s="19"/>
      <c r="R112" s="17"/>
      <c r="U112" s="19"/>
      <c r="V112" s="17"/>
      <c r="Y112" s="19"/>
      <c r="Z112" s="17"/>
      <c r="AC112" s="19"/>
    </row>
    <row r="113" spans="2:29" x14ac:dyDescent="0.2">
      <c r="B113" s="5" t="s">
        <v>66</v>
      </c>
      <c r="C113" s="5" t="s">
        <v>15</v>
      </c>
      <c r="D113" s="5" t="s">
        <v>16</v>
      </c>
      <c r="E113" s="5" t="s">
        <v>20</v>
      </c>
      <c r="F113" s="5" t="s">
        <v>253</v>
      </c>
      <c r="G113" s="5" t="s">
        <v>18</v>
      </c>
      <c r="H113" s="6">
        <v>23.567260039232099</v>
      </c>
      <c r="I113" s="28"/>
      <c r="J113" s="28"/>
      <c r="N113" s="8">
        <v>0</v>
      </c>
      <c r="O113" s="9">
        <v>60</v>
      </c>
      <c r="P113" s="5" t="s">
        <v>16</v>
      </c>
      <c r="Q113" s="19"/>
      <c r="R113" s="17"/>
      <c r="U113" s="19"/>
      <c r="V113" s="17"/>
      <c r="Y113" s="19"/>
      <c r="Z113" s="17"/>
      <c r="AC113" s="19"/>
    </row>
    <row r="114" spans="2:29" x14ac:dyDescent="0.2">
      <c r="B114" s="5" t="s">
        <v>67</v>
      </c>
      <c r="C114" s="5" t="s">
        <v>15</v>
      </c>
      <c r="D114" s="5" t="s">
        <v>16</v>
      </c>
      <c r="E114" s="5" t="s">
        <v>20</v>
      </c>
      <c r="F114" s="5" t="s">
        <v>253</v>
      </c>
      <c r="G114" s="5" t="s">
        <v>19</v>
      </c>
      <c r="H114" s="6">
        <v>23.716987487538201</v>
      </c>
      <c r="I114" s="28"/>
      <c r="J114" s="28"/>
      <c r="N114" s="8">
        <v>0</v>
      </c>
      <c r="O114" s="9">
        <v>60</v>
      </c>
      <c r="P114" s="5" t="s">
        <v>16</v>
      </c>
      <c r="Q114" s="19"/>
      <c r="R114" s="17"/>
      <c r="U114" s="19"/>
      <c r="V114" s="17"/>
      <c r="Y114" s="19"/>
      <c r="Z114" s="17"/>
      <c r="AC114" s="19"/>
    </row>
    <row r="115" spans="2:29" x14ac:dyDescent="0.2">
      <c r="B115" s="10"/>
      <c r="C115" s="10"/>
      <c r="D115" s="10"/>
      <c r="E115" s="10"/>
      <c r="F115" s="10"/>
      <c r="H115" s="28"/>
      <c r="I115" s="28"/>
      <c r="J115" s="28"/>
      <c r="N115" s="8">
        <v>0</v>
      </c>
      <c r="O115" s="9">
        <v>60</v>
      </c>
      <c r="P115" s="5" t="s">
        <v>16</v>
      </c>
      <c r="Q115" s="19"/>
      <c r="R115" s="17"/>
      <c r="U115" s="19"/>
      <c r="V115" s="17"/>
      <c r="Y115" s="19"/>
      <c r="Z115" s="17"/>
      <c r="AC115" s="19"/>
    </row>
    <row r="116" spans="2:29" x14ac:dyDescent="0.2">
      <c r="B116" s="5" t="s">
        <v>68</v>
      </c>
      <c r="C116" s="5" t="s">
        <v>15</v>
      </c>
      <c r="D116" s="5" t="s">
        <v>16</v>
      </c>
      <c r="E116" s="5" t="s">
        <v>20</v>
      </c>
      <c r="F116" s="5" t="s">
        <v>254</v>
      </c>
      <c r="G116" s="5" t="s">
        <v>17</v>
      </c>
      <c r="H116" s="6">
        <v>24.426160809752901</v>
      </c>
      <c r="I116" s="28">
        <f>AVERAGE(H116:H118)</f>
        <v>24.38088605405137</v>
      </c>
      <c r="J116" s="28">
        <f>_xlfn.STDEV.S(H116:H118)</f>
        <v>4.136324129360984E-2</v>
      </c>
      <c r="N116" s="8">
        <v>0</v>
      </c>
      <c r="O116" s="9">
        <v>60</v>
      </c>
      <c r="P116" s="5" t="s">
        <v>16</v>
      </c>
      <c r="Q116" s="19"/>
      <c r="R116" s="17"/>
      <c r="U116" s="19"/>
      <c r="V116" s="17"/>
      <c r="Y116" s="19"/>
      <c r="Z116" s="17"/>
      <c r="AC116" s="19"/>
    </row>
    <row r="117" spans="2:29" x14ac:dyDescent="0.2">
      <c r="B117" s="5" t="s">
        <v>69</v>
      </c>
      <c r="C117" s="5" t="s">
        <v>15</v>
      </c>
      <c r="D117" s="5" t="s">
        <v>16</v>
      </c>
      <c r="E117" s="5" t="s">
        <v>20</v>
      </c>
      <c r="F117" s="5" t="s">
        <v>254</v>
      </c>
      <c r="G117" s="5" t="s">
        <v>18</v>
      </c>
      <c r="H117" s="6">
        <v>24.371423087095899</v>
      </c>
      <c r="I117" s="28"/>
      <c r="J117" s="28"/>
      <c r="N117" s="8">
        <v>0</v>
      </c>
      <c r="O117" s="9">
        <v>60</v>
      </c>
      <c r="P117" s="5" t="s">
        <v>16</v>
      </c>
      <c r="Q117" s="19"/>
      <c r="R117" s="17"/>
      <c r="U117" s="19"/>
      <c r="V117" s="17"/>
      <c r="Y117" s="19"/>
      <c r="Z117" s="17"/>
      <c r="AC117" s="19"/>
    </row>
    <row r="118" spans="2:29" x14ac:dyDescent="0.2">
      <c r="B118" s="5" t="s">
        <v>70</v>
      </c>
      <c r="C118" s="5" t="s">
        <v>15</v>
      </c>
      <c r="D118" s="5" t="s">
        <v>16</v>
      </c>
      <c r="E118" s="5" t="s">
        <v>20</v>
      </c>
      <c r="F118" s="5" t="s">
        <v>254</v>
      </c>
      <c r="G118" s="5" t="s">
        <v>19</v>
      </c>
      <c r="H118" s="6">
        <v>24.3450742653053</v>
      </c>
      <c r="I118" s="28"/>
      <c r="J118" s="28"/>
      <c r="N118" s="8">
        <v>0</v>
      </c>
      <c r="O118" s="9">
        <v>60</v>
      </c>
      <c r="P118" s="5" t="s">
        <v>16</v>
      </c>
      <c r="Q118" s="19"/>
      <c r="R118" s="17"/>
      <c r="U118" s="19"/>
      <c r="V118" s="17"/>
      <c r="Y118" s="19"/>
      <c r="Z118" s="17"/>
      <c r="AC118" s="19"/>
    </row>
    <row r="119" spans="2:29" x14ac:dyDescent="0.2">
      <c r="C119" s="10"/>
      <c r="D119" s="10"/>
      <c r="E119" s="10"/>
      <c r="F119" s="10"/>
      <c r="H119" s="28"/>
      <c r="I119" s="28"/>
      <c r="J119" s="28"/>
      <c r="N119" s="8">
        <v>0</v>
      </c>
      <c r="O119" s="9">
        <v>60</v>
      </c>
      <c r="P119" s="5" t="s">
        <v>16</v>
      </c>
      <c r="Q119" s="19"/>
      <c r="R119" s="17"/>
      <c r="U119" s="19"/>
      <c r="V119" s="17"/>
      <c r="Y119" s="19"/>
      <c r="Z119" s="17"/>
      <c r="AC119" s="19"/>
    </row>
    <row r="120" spans="2:29" x14ac:dyDescent="0.2">
      <c r="B120" s="5" t="s">
        <v>71</v>
      </c>
      <c r="C120" s="5" t="s">
        <v>15</v>
      </c>
      <c r="D120" s="5" t="s">
        <v>16</v>
      </c>
      <c r="E120" s="5" t="s">
        <v>20</v>
      </c>
      <c r="F120" s="5" t="s">
        <v>255</v>
      </c>
      <c r="G120" s="5" t="s">
        <v>17</v>
      </c>
      <c r="H120" s="6">
        <v>23.250380990936801</v>
      </c>
      <c r="I120" s="28">
        <f>AVERAGE(H120:H122)</f>
        <v>23.3026034829638</v>
      </c>
      <c r="J120" s="28">
        <f>_xlfn.STDEV.S(H120:H122)</f>
        <v>5.7654652826552612E-2</v>
      </c>
      <c r="N120" s="8">
        <v>0</v>
      </c>
      <c r="O120" s="9">
        <v>60</v>
      </c>
      <c r="P120" s="5" t="s">
        <v>16</v>
      </c>
      <c r="Q120" s="19"/>
      <c r="R120" s="17"/>
      <c r="U120" s="19"/>
      <c r="V120" s="17"/>
      <c r="Y120" s="19"/>
      <c r="Z120" s="17"/>
      <c r="AC120" s="19"/>
    </row>
    <row r="121" spans="2:29" x14ac:dyDescent="0.2">
      <c r="B121" s="5" t="s">
        <v>72</v>
      </c>
      <c r="C121" s="5" t="s">
        <v>15</v>
      </c>
      <c r="D121" s="5" t="s">
        <v>16</v>
      </c>
      <c r="E121" s="5" t="s">
        <v>20</v>
      </c>
      <c r="F121" s="5" t="s">
        <v>255</v>
      </c>
      <c r="G121" s="5" t="s">
        <v>18</v>
      </c>
      <c r="H121" s="6">
        <v>23.2929562686159</v>
      </c>
      <c r="I121" s="28"/>
      <c r="J121" s="28"/>
      <c r="N121" s="8">
        <v>0</v>
      </c>
      <c r="O121" s="9">
        <v>60</v>
      </c>
      <c r="P121" s="5" t="s">
        <v>16</v>
      </c>
      <c r="Q121" s="19"/>
      <c r="R121" s="17"/>
      <c r="U121" s="19"/>
      <c r="V121" s="17"/>
      <c r="Y121" s="19"/>
      <c r="Z121" s="17"/>
      <c r="AC121" s="19"/>
    </row>
    <row r="122" spans="2:29" x14ac:dyDescent="0.2">
      <c r="B122" s="5" t="s">
        <v>73</v>
      </c>
      <c r="C122" s="5" t="s">
        <v>15</v>
      </c>
      <c r="D122" s="5" t="s">
        <v>16</v>
      </c>
      <c r="E122" s="5" t="s">
        <v>20</v>
      </c>
      <c r="F122" s="5" t="s">
        <v>255</v>
      </c>
      <c r="G122" s="5" t="s">
        <v>19</v>
      </c>
      <c r="H122" s="6">
        <v>23.3644731893387</v>
      </c>
      <c r="I122" s="28"/>
      <c r="J122" s="28"/>
      <c r="N122" s="8">
        <v>0</v>
      </c>
      <c r="O122" s="9">
        <v>60</v>
      </c>
      <c r="P122" s="5" t="s">
        <v>16</v>
      </c>
      <c r="Q122" s="19"/>
      <c r="R122" s="17"/>
      <c r="U122" s="19"/>
      <c r="V122" s="17"/>
      <c r="Y122" s="19"/>
      <c r="Z122" s="17"/>
      <c r="AC122" s="19"/>
    </row>
    <row r="123" spans="2:29" x14ac:dyDescent="0.2">
      <c r="H123" s="28"/>
      <c r="I123" s="28"/>
      <c r="J123" s="28"/>
      <c r="Q123" s="19"/>
      <c r="R123" s="17"/>
      <c r="U123" s="19"/>
      <c r="V123" s="17"/>
      <c r="Y123" s="19"/>
      <c r="Z123" s="17"/>
      <c r="AC123" s="19"/>
    </row>
    <row r="124" spans="2:29" x14ac:dyDescent="0.2">
      <c r="B124" s="5" t="s">
        <v>74</v>
      </c>
      <c r="C124" s="5" t="s">
        <v>15</v>
      </c>
      <c r="D124" s="5" t="s">
        <v>16</v>
      </c>
      <c r="E124" s="5" t="s">
        <v>20</v>
      </c>
      <c r="F124" s="5" t="s">
        <v>256</v>
      </c>
      <c r="G124" s="5" t="s">
        <v>17</v>
      </c>
      <c r="H124" s="6">
        <v>22.013088153199401</v>
      </c>
      <c r="I124" s="28">
        <f>AVERAGE(H124:H126)</f>
        <v>21.946088958046435</v>
      </c>
      <c r="J124" s="28">
        <f>_xlfn.STDEV.S(H124:H126)</f>
        <v>6.0915135932296909E-2</v>
      </c>
      <c r="N124" s="8">
        <v>0</v>
      </c>
      <c r="O124" s="9">
        <v>60</v>
      </c>
      <c r="P124" s="5" t="s">
        <v>16</v>
      </c>
      <c r="Q124" s="19"/>
      <c r="R124" s="17"/>
      <c r="U124" s="19"/>
      <c r="V124" s="17"/>
      <c r="Y124" s="19"/>
      <c r="Z124" s="17"/>
      <c r="AC124" s="19"/>
    </row>
    <row r="125" spans="2:29" x14ac:dyDescent="0.2">
      <c r="B125" s="5" t="s">
        <v>75</v>
      </c>
      <c r="C125" s="5" t="s">
        <v>15</v>
      </c>
      <c r="D125" s="5" t="s">
        <v>16</v>
      </c>
      <c r="E125" s="5" t="s">
        <v>20</v>
      </c>
      <c r="F125" s="5" t="s">
        <v>256</v>
      </c>
      <c r="G125" s="5" t="s">
        <v>18</v>
      </c>
      <c r="H125" s="6">
        <v>21.931136184248999</v>
      </c>
      <c r="I125" s="28"/>
      <c r="J125" s="28"/>
      <c r="N125" s="8">
        <v>0</v>
      </c>
      <c r="O125" s="9">
        <v>60</v>
      </c>
      <c r="P125" s="5" t="s">
        <v>16</v>
      </c>
      <c r="Q125" s="19"/>
      <c r="R125" s="17"/>
      <c r="U125" s="19"/>
      <c r="V125" s="17"/>
      <c r="Y125" s="19"/>
      <c r="Z125" s="17"/>
      <c r="AC125" s="19"/>
    </row>
    <row r="126" spans="2:29" x14ac:dyDescent="0.2">
      <c r="B126" s="5" t="s">
        <v>76</v>
      </c>
      <c r="C126" s="5" t="s">
        <v>15</v>
      </c>
      <c r="D126" s="5" t="s">
        <v>16</v>
      </c>
      <c r="E126" s="5" t="s">
        <v>20</v>
      </c>
      <c r="F126" s="5" t="s">
        <v>256</v>
      </c>
      <c r="G126" s="5" t="s">
        <v>19</v>
      </c>
      <c r="H126" s="6">
        <v>21.8940425366909</v>
      </c>
      <c r="I126" s="28"/>
      <c r="J126" s="28"/>
      <c r="N126" s="8">
        <v>0</v>
      </c>
      <c r="O126" s="9">
        <v>60</v>
      </c>
      <c r="P126" s="5" t="s">
        <v>16</v>
      </c>
      <c r="Q126" s="19"/>
      <c r="R126" s="17"/>
      <c r="U126" s="19"/>
      <c r="V126" s="17"/>
      <c r="Y126" s="19"/>
      <c r="Z126" s="17"/>
      <c r="AC126" s="19"/>
    </row>
    <row r="127" spans="2:29" x14ac:dyDescent="0.2">
      <c r="H127" s="28"/>
      <c r="I127" s="28"/>
      <c r="J127" s="28"/>
      <c r="Q127" s="19"/>
      <c r="R127" s="17"/>
      <c r="U127" s="19"/>
      <c r="V127" s="17"/>
      <c r="Y127" s="19"/>
      <c r="Z127" s="17"/>
      <c r="AC127" s="19"/>
    </row>
    <row r="128" spans="2:29" x14ac:dyDescent="0.2">
      <c r="B128" s="5" t="s">
        <v>313</v>
      </c>
      <c r="C128" s="5" t="s">
        <v>15</v>
      </c>
      <c r="D128" s="5" t="s">
        <v>16</v>
      </c>
      <c r="E128" s="5" t="s">
        <v>20</v>
      </c>
      <c r="F128" s="5" t="s">
        <v>257</v>
      </c>
      <c r="G128" s="5" t="s">
        <v>17</v>
      </c>
      <c r="H128" s="6">
        <v>23.197250505122401</v>
      </c>
      <c r="I128" s="28">
        <f>AVERAGE(H128:H130)</f>
        <v>23.241479939259502</v>
      </c>
      <c r="J128" s="28">
        <f>_xlfn.STDEV.S(H128:H130)</f>
        <v>5.5145160062606988E-2</v>
      </c>
      <c r="N128" s="8">
        <v>0</v>
      </c>
      <c r="O128" s="9">
        <v>60</v>
      </c>
      <c r="P128" s="5" t="s">
        <v>16</v>
      </c>
      <c r="Q128" s="19"/>
      <c r="R128" s="17"/>
      <c r="U128" s="19"/>
      <c r="V128" s="17"/>
      <c r="Y128" s="19"/>
      <c r="Z128" s="17"/>
      <c r="AC128" s="19"/>
    </row>
    <row r="129" spans="2:29" x14ac:dyDescent="0.2">
      <c r="B129" s="5" t="s">
        <v>314</v>
      </c>
      <c r="C129" s="5" t="s">
        <v>15</v>
      </c>
      <c r="D129" s="5" t="s">
        <v>16</v>
      </c>
      <c r="E129" s="5" t="s">
        <v>20</v>
      </c>
      <c r="F129" s="5" t="s">
        <v>257</v>
      </c>
      <c r="G129" s="5" t="s">
        <v>18</v>
      </c>
      <c r="H129" s="6">
        <v>23.223923425627898</v>
      </c>
      <c r="I129" s="28"/>
      <c r="J129" s="28"/>
      <c r="N129" s="8">
        <v>0</v>
      </c>
      <c r="O129" s="9">
        <v>60</v>
      </c>
      <c r="P129" s="5" t="s">
        <v>16</v>
      </c>
      <c r="Q129" s="19"/>
      <c r="R129" s="17"/>
      <c r="U129" s="19"/>
      <c r="V129" s="17"/>
      <c r="Y129" s="19"/>
      <c r="Z129" s="17"/>
      <c r="AC129" s="19"/>
    </row>
    <row r="130" spans="2:29" x14ac:dyDescent="0.2">
      <c r="B130" s="5" t="s">
        <v>315</v>
      </c>
      <c r="C130" s="5" t="s">
        <v>15</v>
      </c>
      <c r="D130" s="5" t="s">
        <v>16</v>
      </c>
      <c r="E130" s="5" t="s">
        <v>20</v>
      </c>
      <c r="F130" s="5" t="s">
        <v>257</v>
      </c>
      <c r="G130" s="5" t="s">
        <v>19</v>
      </c>
      <c r="H130" s="6">
        <v>23.3032658870282</v>
      </c>
      <c r="I130" s="28"/>
      <c r="J130" s="28"/>
      <c r="N130" s="8">
        <v>0</v>
      </c>
      <c r="O130" s="9">
        <v>60</v>
      </c>
      <c r="P130" s="5" t="s">
        <v>16</v>
      </c>
      <c r="Q130" s="19"/>
      <c r="R130" s="17"/>
      <c r="U130" s="19"/>
      <c r="V130" s="17"/>
      <c r="Y130" s="19"/>
      <c r="Z130" s="17"/>
      <c r="AC130" s="19"/>
    </row>
    <row r="131" spans="2:29" x14ac:dyDescent="0.2">
      <c r="H131" s="28"/>
      <c r="I131" s="28"/>
      <c r="J131" s="28"/>
      <c r="Q131" s="19"/>
      <c r="R131" s="17"/>
      <c r="U131" s="19"/>
      <c r="V131" s="17"/>
      <c r="Y131" s="19"/>
      <c r="Z131" s="17"/>
      <c r="AC131" s="19"/>
    </row>
    <row r="132" spans="2:29" x14ac:dyDescent="0.2">
      <c r="B132" s="5" t="s">
        <v>316</v>
      </c>
      <c r="C132" s="5" t="s">
        <v>15</v>
      </c>
      <c r="D132" s="5" t="s">
        <v>16</v>
      </c>
      <c r="E132" s="5" t="s">
        <v>20</v>
      </c>
      <c r="F132" s="5" t="s">
        <v>258</v>
      </c>
      <c r="G132" s="5" t="s">
        <v>17</v>
      </c>
      <c r="H132" s="6">
        <v>23.725843685027598</v>
      </c>
      <c r="I132" s="28">
        <f>AVERAGE(H132:H134)</f>
        <v>23.665854217873434</v>
      </c>
      <c r="J132" s="28">
        <f>_xlfn.STDEV.S(H132:H134)</f>
        <v>5.8944074646791952E-2</v>
      </c>
      <c r="N132" s="8">
        <v>0</v>
      </c>
      <c r="O132" s="9">
        <v>60</v>
      </c>
      <c r="P132" s="5" t="s">
        <v>16</v>
      </c>
      <c r="Q132" s="19"/>
      <c r="R132" s="17"/>
      <c r="U132" s="19"/>
      <c r="V132" s="17"/>
      <c r="Y132" s="19"/>
      <c r="Z132" s="17"/>
      <c r="AC132" s="19"/>
    </row>
    <row r="133" spans="2:29" x14ac:dyDescent="0.2">
      <c r="B133" s="5" t="s">
        <v>317</v>
      </c>
      <c r="C133" s="5" t="s">
        <v>15</v>
      </c>
      <c r="D133" s="5" t="s">
        <v>16</v>
      </c>
      <c r="E133" s="5" t="s">
        <v>20</v>
      </c>
      <c r="F133" s="5" t="s">
        <v>258</v>
      </c>
      <c r="G133" s="5" t="s">
        <v>18</v>
      </c>
      <c r="H133" s="6">
        <v>23.608014344524999</v>
      </c>
      <c r="I133" s="28"/>
      <c r="J133" s="28"/>
      <c r="N133" s="8">
        <v>0</v>
      </c>
      <c r="O133" s="9">
        <v>60</v>
      </c>
      <c r="P133" s="5" t="s">
        <v>16</v>
      </c>
      <c r="Q133" s="19"/>
      <c r="R133" s="17"/>
      <c r="U133" s="19"/>
      <c r="V133" s="17"/>
      <c r="Y133" s="19"/>
      <c r="Z133" s="17"/>
      <c r="AC133" s="19"/>
    </row>
    <row r="134" spans="2:29" x14ac:dyDescent="0.2">
      <c r="B134" s="5" t="s">
        <v>318</v>
      </c>
      <c r="C134" s="5" t="s">
        <v>15</v>
      </c>
      <c r="D134" s="5" t="s">
        <v>16</v>
      </c>
      <c r="E134" s="5" t="s">
        <v>20</v>
      </c>
      <c r="F134" s="5" t="s">
        <v>258</v>
      </c>
      <c r="G134" s="5" t="s">
        <v>19</v>
      </c>
      <c r="H134" s="6">
        <v>23.663704624067702</v>
      </c>
      <c r="I134" s="28"/>
      <c r="J134" s="28"/>
      <c r="N134" s="8">
        <v>0</v>
      </c>
      <c r="O134" s="9">
        <v>60</v>
      </c>
      <c r="P134" s="5" t="s">
        <v>16</v>
      </c>
      <c r="Q134" s="19"/>
      <c r="R134" s="17"/>
      <c r="U134" s="19"/>
      <c r="V134" s="17"/>
      <c r="Y134" s="19"/>
      <c r="Z134" s="17"/>
      <c r="AC134" s="19"/>
    </row>
    <row r="135" spans="2:29" x14ac:dyDescent="0.2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</sheetData>
  <conditionalFormatting sqref="R2:R30">
    <cfRule type="cellIs" dxfId="35" priority="8" operator="greaterThanOrEqual">
      <formula>1</formula>
    </cfRule>
    <cfRule type="cellIs" dxfId="34" priority="6" operator="between">
      <formula>0.0001</formula>
      <formula>0.9</formula>
    </cfRule>
    <cfRule type="cellIs" dxfId="33" priority="3" operator="between">
      <formula>0.9</formula>
      <formula>1</formula>
    </cfRule>
  </conditionalFormatting>
  <conditionalFormatting sqref="V2:V30">
    <cfRule type="cellIs" dxfId="32" priority="4" operator="between">
      <formula>0.0001</formula>
      <formula>0.9</formula>
    </cfRule>
    <cfRule type="cellIs" dxfId="31" priority="9" operator="greaterThanOrEqual">
      <formula>1</formula>
    </cfRule>
    <cfRule type="cellIs" dxfId="30" priority="1" operator="between">
      <formula>0.9</formula>
      <formula>1</formula>
    </cfRule>
  </conditionalFormatting>
  <conditionalFormatting sqref="Z2:Z30">
    <cfRule type="cellIs" dxfId="29" priority="2" operator="between">
      <formula>0.9</formula>
      <formula>1</formula>
    </cfRule>
    <cfRule type="cellIs" dxfId="28" priority="7" operator="greaterThanOrEqual">
      <formula>1</formula>
    </cfRule>
    <cfRule type="cellIs" dxfId="27" priority="5" operator="between">
      <formula>0.0001</formula>
      <formula>0.9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24B5-CB52-3C4E-AC0B-1519E6091BF4}">
  <dimension ref="A1:AC135"/>
  <sheetViews>
    <sheetView topLeftCell="B1" workbookViewId="0">
      <selection activeCell="S21" sqref="S21"/>
    </sheetView>
  </sheetViews>
  <sheetFormatPr baseColWidth="10" defaultColWidth="6.6640625" defaultRowHeight="16" x14ac:dyDescent="0.2"/>
  <cols>
    <col min="1" max="1" width="1" style="4" customWidth="1"/>
    <col min="2" max="3" width="6.6640625" style="5"/>
    <col min="4" max="4" width="8.83203125" style="5" customWidth="1"/>
    <col min="5" max="5" width="8.33203125" style="5" bestFit="1" customWidth="1"/>
    <col min="6" max="6" width="16.33203125" style="5" bestFit="1" customWidth="1"/>
    <col min="7" max="7" width="20.1640625" style="5" bestFit="1" customWidth="1"/>
    <col min="8" max="8" width="10" style="6" customWidth="1"/>
    <col min="9" max="9" width="8.83203125" style="6" customWidth="1"/>
    <col min="10" max="10" width="10" style="7" customWidth="1"/>
    <col min="11" max="11" width="12.1640625" style="8" hidden="1" customWidth="1"/>
    <col min="12" max="12" width="12.1640625" style="7" hidden="1" customWidth="1"/>
    <col min="13" max="14" width="12.1640625" style="8" hidden="1" customWidth="1"/>
    <col min="15" max="15" width="6.6640625" style="9" hidden="1" customWidth="1"/>
    <col min="16" max="16" width="12.1640625" style="5" hidden="1" customWidth="1"/>
    <col min="17" max="17" width="3.5" style="10" customWidth="1"/>
    <col min="18" max="18" width="11.83203125" style="10" customWidth="1"/>
    <col min="19" max="19" width="14.83203125" style="10" customWidth="1"/>
    <col min="20" max="20" width="18.5" style="10" customWidth="1"/>
    <col min="21" max="21" width="3.5" style="10" customWidth="1"/>
    <col min="22" max="22" width="11.83203125" style="10" customWidth="1"/>
    <col min="23" max="23" width="15.33203125" style="10" customWidth="1"/>
    <col min="24" max="24" width="19.33203125" style="10" customWidth="1"/>
    <col min="25" max="25" width="3.5" style="10" customWidth="1"/>
    <col min="26" max="26" width="11.83203125" style="10" customWidth="1"/>
    <col min="27" max="27" width="15.5" style="10" customWidth="1"/>
    <col min="28" max="28" width="18.83203125" style="10" customWidth="1"/>
    <col min="29" max="29" width="3.5" style="10" customWidth="1"/>
    <col min="30" max="16384" width="6.6640625" style="10"/>
  </cols>
  <sheetData>
    <row r="1" spans="1:29" s="3" customFormat="1" ht="30" customHeight="1" x14ac:dyDescent="0.2">
      <c r="A1" s="1"/>
      <c r="B1" s="2" t="s">
        <v>0</v>
      </c>
      <c r="C1" s="2" t="s">
        <v>198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8"/>
      <c r="R1" s="15" t="s">
        <v>101</v>
      </c>
      <c r="S1" s="2" t="s">
        <v>102</v>
      </c>
      <c r="T1" s="2" t="s">
        <v>103</v>
      </c>
      <c r="U1" s="22"/>
      <c r="V1" s="15" t="s">
        <v>104</v>
      </c>
      <c r="W1" s="2" t="s">
        <v>105</v>
      </c>
      <c r="X1" s="2" t="s">
        <v>106</v>
      </c>
      <c r="Y1" s="22"/>
      <c r="Z1" s="15" t="s">
        <v>107</v>
      </c>
      <c r="AA1" s="2" t="s">
        <v>108</v>
      </c>
      <c r="AB1" s="2" t="s">
        <v>109</v>
      </c>
      <c r="AC1" s="18"/>
    </row>
    <row r="2" spans="1:29" ht="15" customHeight="1" x14ac:dyDescent="0.25">
      <c r="B2" s="5" t="s">
        <v>274</v>
      </c>
      <c r="C2" s="5" t="s">
        <v>15</v>
      </c>
      <c r="D2" s="5" t="s">
        <v>16</v>
      </c>
      <c r="E2" s="5" t="s">
        <v>20</v>
      </c>
      <c r="F2" s="5" t="s">
        <v>199</v>
      </c>
      <c r="G2" s="5" t="s">
        <v>17</v>
      </c>
      <c r="H2" s="6">
        <v>22.394891529797398</v>
      </c>
      <c r="I2" s="28">
        <f>AVERAGE(H2:H4)</f>
        <v>22.433511316643035</v>
      </c>
      <c r="J2" s="28">
        <f>_xlfn.STDEV.S(H2:H4)</f>
        <v>6.9165109385262352E-2</v>
      </c>
      <c r="Q2" s="19"/>
      <c r="R2" s="31">
        <f>I2/I36</f>
        <v>1.0068335735685241</v>
      </c>
      <c r="S2" s="32">
        <f>I2-I36</f>
        <v>0.15226056620187123</v>
      </c>
      <c r="T2" s="32">
        <f>POWER(2,S2)</f>
        <v>1.1113094249350641</v>
      </c>
      <c r="U2" s="33"/>
      <c r="V2" s="31">
        <f>I2/I70</f>
        <v>1.0869712568559773</v>
      </c>
      <c r="W2" s="32">
        <f>I2-I70</f>
        <v>1.7949606878701019</v>
      </c>
      <c r="X2" s="32">
        <f>POWER(2,W2)</f>
        <v>3.470060191330576</v>
      </c>
      <c r="Y2" s="33"/>
      <c r="Z2" s="31">
        <f>I2/I104</f>
        <v>1.0570645725260033</v>
      </c>
      <c r="AA2" s="32">
        <f>I2-I104</f>
        <v>1.211050646113673</v>
      </c>
      <c r="AB2" s="32">
        <f>POWER(2,AA2)</f>
        <v>2.315061703283086</v>
      </c>
      <c r="AC2" s="19"/>
    </row>
    <row r="3" spans="1:29" ht="15" customHeight="1" x14ac:dyDescent="0.25">
      <c r="B3" s="5" t="s">
        <v>275</v>
      </c>
      <c r="C3" s="5" t="s">
        <v>15</v>
      </c>
      <c r="D3" s="5" t="s">
        <v>16</v>
      </c>
      <c r="E3" s="5" t="s">
        <v>20</v>
      </c>
      <c r="F3" s="5" t="s">
        <v>199</v>
      </c>
      <c r="G3" s="5" t="s">
        <v>18</v>
      </c>
      <c r="H3" s="6">
        <v>22.392280344493301</v>
      </c>
      <c r="I3" s="28"/>
      <c r="J3" s="28"/>
      <c r="Q3" s="19"/>
      <c r="R3" s="31"/>
      <c r="S3" s="32"/>
      <c r="T3" s="32"/>
      <c r="U3" s="33"/>
      <c r="V3" s="31"/>
      <c r="W3" s="32"/>
      <c r="X3" s="32"/>
      <c r="Y3" s="33"/>
      <c r="Z3" s="31"/>
      <c r="AA3" s="32"/>
      <c r="AB3" s="32"/>
      <c r="AC3" s="19"/>
    </row>
    <row r="4" spans="1:29" ht="15" customHeight="1" x14ac:dyDescent="0.25">
      <c r="B4" s="5" t="s">
        <v>276</v>
      </c>
      <c r="C4" s="5" t="s">
        <v>15</v>
      </c>
      <c r="D4" s="5" t="s">
        <v>16</v>
      </c>
      <c r="E4" s="5" t="s">
        <v>20</v>
      </c>
      <c r="F4" s="5" t="s">
        <v>199</v>
      </c>
      <c r="G4" s="5" t="s">
        <v>19</v>
      </c>
      <c r="H4" s="6">
        <v>22.513362075638401</v>
      </c>
      <c r="I4" s="28"/>
      <c r="J4" s="28"/>
      <c r="Q4" s="19"/>
      <c r="R4" s="31"/>
      <c r="S4" s="32"/>
      <c r="T4" s="32"/>
      <c r="U4" s="33"/>
      <c r="V4" s="31"/>
      <c r="W4" s="32"/>
      <c r="X4" s="32"/>
      <c r="Y4" s="33"/>
      <c r="Z4" s="31"/>
      <c r="AA4" s="32"/>
      <c r="AB4" s="32"/>
      <c r="AC4" s="19"/>
    </row>
    <row r="5" spans="1:29" ht="15" customHeight="1" x14ac:dyDescent="0.25">
      <c r="H5" s="28"/>
      <c r="I5" s="28"/>
      <c r="J5" s="28"/>
      <c r="Q5" s="19"/>
      <c r="R5" s="31"/>
      <c r="S5" s="32"/>
      <c r="T5" s="32"/>
      <c r="U5" s="33"/>
      <c r="V5" s="31"/>
      <c r="W5" s="32"/>
      <c r="X5" s="32"/>
      <c r="Y5" s="33"/>
      <c r="Z5" s="31"/>
      <c r="AA5" s="32"/>
      <c r="AB5" s="32"/>
      <c r="AC5" s="19"/>
    </row>
    <row r="6" spans="1:29" ht="15" customHeight="1" x14ac:dyDescent="0.25">
      <c r="B6" s="5" t="s">
        <v>280</v>
      </c>
      <c r="C6" s="5" t="s">
        <v>15</v>
      </c>
      <c r="D6" s="5" t="s">
        <v>16</v>
      </c>
      <c r="E6" s="5" t="s">
        <v>20</v>
      </c>
      <c r="F6" s="5" t="s">
        <v>200</v>
      </c>
      <c r="G6" s="5" t="s">
        <v>17</v>
      </c>
      <c r="H6" s="6">
        <v>24.308844209284398</v>
      </c>
      <c r="I6" s="28">
        <f>AVERAGE(H6:H8)</f>
        <v>24.332192053403002</v>
      </c>
      <c r="J6" s="28">
        <f>_xlfn.STDEV.S(H6:H8)</f>
        <v>0.13265420815459777</v>
      </c>
      <c r="Q6" s="19"/>
      <c r="R6" s="31">
        <f>I6/I40</f>
        <v>0.99507609633442695</v>
      </c>
      <c r="S6" s="32">
        <f>I6-I40</f>
        <v>-0.1204022185685325</v>
      </c>
      <c r="T6" s="32">
        <f t="shared" ref="T6:T30" si="0">POWER(2,S6)</f>
        <v>0.91993114113375596</v>
      </c>
      <c r="U6" s="33"/>
      <c r="V6" s="31">
        <f>I6/I74</f>
        <v>1.0577812757352736</v>
      </c>
      <c r="W6" s="32">
        <f>I6-I74</f>
        <v>1.3291453824459367</v>
      </c>
      <c r="X6" s="32">
        <f>POWER(2,W6)</f>
        <v>2.5125379415778135</v>
      </c>
      <c r="Y6" s="33"/>
      <c r="Z6" s="31">
        <f>I6/I108</f>
        <v>1.0261093663862899</v>
      </c>
      <c r="AA6" s="32">
        <f>I6-I108</f>
        <v>0.61913294831450116</v>
      </c>
      <c r="AB6" s="32">
        <f t="shared" ref="AB6" si="1">POWER(2,AA6)</f>
        <v>1.5359518053622916</v>
      </c>
      <c r="AC6" s="19"/>
    </row>
    <row r="7" spans="1:29" ht="15" customHeight="1" x14ac:dyDescent="0.25">
      <c r="B7" s="5" t="s">
        <v>281</v>
      </c>
      <c r="C7" s="5" t="s">
        <v>15</v>
      </c>
      <c r="D7" s="5" t="s">
        <v>16</v>
      </c>
      <c r="E7" s="5" t="s">
        <v>20</v>
      </c>
      <c r="F7" s="5" t="s">
        <v>200</v>
      </c>
      <c r="G7" s="5" t="s">
        <v>18</v>
      </c>
      <c r="H7" s="6">
        <v>24.2127618276546</v>
      </c>
      <c r="I7" s="28"/>
      <c r="J7" s="28"/>
      <c r="Q7" s="19"/>
      <c r="R7" s="31"/>
      <c r="S7" s="32"/>
      <c r="T7" s="32"/>
      <c r="U7" s="33"/>
      <c r="V7" s="31"/>
      <c r="W7" s="32"/>
      <c r="X7" s="32"/>
      <c r="Y7" s="33"/>
      <c r="Z7" s="31"/>
      <c r="AA7" s="32"/>
      <c r="AB7" s="32"/>
      <c r="AC7" s="19"/>
    </row>
    <row r="8" spans="1:29" ht="15" customHeight="1" x14ac:dyDescent="0.25">
      <c r="B8" s="5" t="s">
        <v>282</v>
      </c>
      <c r="C8" s="5" t="s">
        <v>15</v>
      </c>
      <c r="D8" s="5" t="s">
        <v>16</v>
      </c>
      <c r="E8" s="5" t="s">
        <v>20</v>
      </c>
      <c r="F8" s="5" t="s">
        <v>200</v>
      </c>
      <c r="G8" s="5" t="s">
        <v>19</v>
      </c>
      <c r="H8" s="6">
        <v>24.474970123270001</v>
      </c>
      <c r="I8" s="28"/>
      <c r="J8" s="28"/>
      <c r="Q8" s="19"/>
      <c r="R8" s="31"/>
      <c r="S8" s="32"/>
      <c r="T8" s="32"/>
      <c r="U8" s="33"/>
      <c r="V8" s="31"/>
      <c r="W8" s="32"/>
      <c r="X8" s="32"/>
      <c r="Y8" s="33"/>
      <c r="Z8" s="31"/>
      <c r="AA8" s="32"/>
      <c r="AB8" s="32"/>
      <c r="AC8" s="19"/>
    </row>
    <row r="9" spans="1:29" ht="15" customHeight="1" x14ac:dyDescent="0.25">
      <c r="H9" s="28"/>
      <c r="I9" s="28"/>
      <c r="J9" s="28"/>
      <c r="Q9" s="19"/>
      <c r="R9" s="31"/>
      <c r="S9" s="32"/>
      <c r="T9" s="32"/>
      <c r="U9" s="33"/>
      <c r="V9" s="31"/>
      <c r="W9" s="32"/>
      <c r="X9" s="32"/>
      <c r="Y9" s="33"/>
      <c r="Z9" s="31"/>
      <c r="AA9" s="32"/>
      <c r="AB9" s="32"/>
      <c r="AC9" s="19"/>
    </row>
    <row r="10" spans="1:29" ht="15" customHeight="1" x14ac:dyDescent="0.25">
      <c r="B10" s="5" t="s">
        <v>283</v>
      </c>
      <c r="C10" s="5" t="s">
        <v>15</v>
      </c>
      <c r="D10" s="5" t="s">
        <v>16</v>
      </c>
      <c r="E10" s="5" t="s">
        <v>20</v>
      </c>
      <c r="F10" s="5" t="s">
        <v>201</v>
      </c>
      <c r="G10" s="5" t="s">
        <v>17</v>
      </c>
      <c r="H10" s="6">
        <v>23.5254240262785</v>
      </c>
      <c r="I10" s="28">
        <f>AVERAGE(H10:H12)</f>
        <v>23.641164578491367</v>
      </c>
      <c r="J10" s="28">
        <f>_xlfn.STDEV.S(H10:H12)</f>
        <v>0.14293472483873465</v>
      </c>
      <c r="Q10" s="19"/>
      <c r="R10" s="31">
        <f>I10/I44</f>
        <v>1.0006404134191782</v>
      </c>
      <c r="S10" s="32">
        <f>I10-I44</f>
        <v>1.5130429311096094E-2</v>
      </c>
      <c r="T10" s="32">
        <f t="shared" si="0"/>
        <v>1.0105428022064189</v>
      </c>
      <c r="U10" s="33"/>
      <c r="V10" s="31">
        <f>I10/I78</f>
        <v>1.0467707192281581</v>
      </c>
      <c r="W10" s="32">
        <f>I10-I78</f>
        <v>1.0563098971115679</v>
      </c>
      <c r="X10" s="32">
        <f t="shared" ref="X10" si="2">POWER(2,W10)</f>
        <v>2.0796055306058663</v>
      </c>
      <c r="Y10" s="33"/>
      <c r="Z10" s="31">
        <f>I10/I112</f>
        <v>1.051429111706917</v>
      </c>
      <c r="AA10" s="32">
        <f>I10-I112</f>
        <v>1.1563728647526332</v>
      </c>
      <c r="AB10" s="32">
        <f t="shared" ref="AB10" si="3">POWER(2,AA10)</f>
        <v>2.2289633031061551</v>
      </c>
      <c r="AC10" s="19"/>
    </row>
    <row r="11" spans="1:29" ht="15" customHeight="1" x14ac:dyDescent="0.25">
      <c r="B11" s="5" t="s">
        <v>284</v>
      </c>
      <c r="C11" s="5" t="s">
        <v>15</v>
      </c>
      <c r="D11" s="5" t="s">
        <v>16</v>
      </c>
      <c r="E11" s="5" t="s">
        <v>20</v>
      </c>
      <c r="F11" s="5" t="s">
        <v>201</v>
      </c>
      <c r="G11" s="5" t="s">
        <v>18</v>
      </c>
      <c r="H11" s="6">
        <v>23.597135742752702</v>
      </c>
      <c r="I11" s="28"/>
      <c r="J11" s="28"/>
      <c r="N11" s="8">
        <v>0</v>
      </c>
      <c r="O11" s="9">
        <v>60</v>
      </c>
      <c r="P11" s="5" t="s">
        <v>16</v>
      </c>
      <c r="Q11" s="19"/>
      <c r="R11" s="31"/>
      <c r="S11" s="32"/>
      <c r="T11" s="32"/>
      <c r="U11" s="33"/>
      <c r="V11" s="31"/>
      <c r="W11" s="32"/>
      <c r="X11" s="32"/>
      <c r="Y11" s="33"/>
      <c r="Z11" s="31"/>
      <c r="AA11" s="32"/>
      <c r="AB11" s="32"/>
      <c r="AC11" s="19"/>
    </row>
    <row r="12" spans="1:29" ht="15" customHeight="1" x14ac:dyDescent="0.25">
      <c r="B12" s="5" t="s">
        <v>285</v>
      </c>
      <c r="C12" s="5" t="s">
        <v>15</v>
      </c>
      <c r="D12" s="5" t="s">
        <v>16</v>
      </c>
      <c r="E12" s="5" t="s">
        <v>20</v>
      </c>
      <c r="F12" s="5" t="s">
        <v>201</v>
      </c>
      <c r="G12" s="5" t="s">
        <v>19</v>
      </c>
      <c r="H12" s="6">
        <v>23.800933966442901</v>
      </c>
      <c r="I12" s="28"/>
      <c r="J12" s="28"/>
      <c r="N12" s="8">
        <v>0</v>
      </c>
      <c r="O12" s="9">
        <v>60</v>
      </c>
      <c r="P12" s="5" t="s">
        <v>16</v>
      </c>
      <c r="Q12" s="19"/>
      <c r="R12" s="31"/>
      <c r="S12" s="32"/>
      <c r="T12" s="32"/>
      <c r="U12" s="33"/>
      <c r="V12" s="31"/>
      <c r="W12" s="32"/>
      <c r="X12" s="32"/>
      <c r="Y12" s="33"/>
      <c r="Z12" s="31"/>
      <c r="AA12" s="32"/>
      <c r="AB12" s="32"/>
      <c r="AC12" s="19"/>
    </row>
    <row r="13" spans="1:29" ht="15" customHeight="1" x14ac:dyDescent="0.25">
      <c r="H13" s="28"/>
      <c r="I13" s="28"/>
      <c r="J13" s="28"/>
      <c r="N13" s="8">
        <v>0</v>
      </c>
      <c r="O13" s="9">
        <v>60</v>
      </c>
      <c r="P13" s="5" t="s">
        <v>16</v>
      </c>
      <c r="Q13" s="19"/>
      <c r="R13" s="31"/>
      <c r="S13" s="32"/>
      <c r="T13" s="32"/>
      <c r="U13" s="33"/>
      <c r="V13" s="31"/>
      <c r="W13" s="32"/>
      <c r="X13" s="32"/>
      <c r="Y13" s="33"/>
      <c r="Z13" s="31"/>
      <c r="AA13" s="32"/>
      <c r="AB13" s="32"/>
      <c r="AC13" s="19"/>
    </row>
    <row r="14" spans="1:29" ht="15" customHeight="1" x14ac:dyDescent="0.25">
      <c r="B14" s="5" t="s">
        <v>286</v>
      </c>
      <c r="C14" s="5" t="s">
        <v>15</v>
      </c>
      <c r="D14" s="5" t="s">
        <v>16</v>
      </c>
      <c r="E14" s="5" t="s">
        <v>20</v>
      </c>
      <c r="F14" s="5" t="s">
        <v>202</v>
      </c>
      <c r="G14" s="5" t="s">
        <v>17</v>
      </c>
      <c r="H14" s="6">
        <v>23.216940908350999</v>
      </c>
      <c r="I14" s="28">
        <f>AVERAGE(H14:H16)</f>
        <v>23.247178062170732</v>
      </c>
      <c r="J14" s="28">
        <f>_xlfn.STDEV.S(H14:H16)</f>
        <v>6.404757728040375E-2</v>
      </c>
      <c r="N14" s="8">
        <v>0</v>
      </c>
      <c r="O14" s="9">
        <v>60</v>
      </c>
      <c r="P14" s="5" t="s">
        <v>16</v>
      </c>
      <c r="Q14" s="19"/>
      <c r="R14" s="31">
        <f>I14/I48</f>
        <v>1.0009793893898811</v>
      </c>
      <c r="S14" s="32">
        <f>I14-I48</f>
        <v>2.2745762580232309E-2</v>
      </c>
      <c r="T14" s="32">
        <f t="shared" si="0"/>
        <v>1.0158911028749522</v>
      </c>
      <c r="U14" s="33"/>
      <c r="V14" s="31">
        <f>I14/I82</f>
        <v>1.0660020600237403</v>
      </c>
      <c r="W14" s="32">
        <f>I14-I82</f>
        <v>1.4393608599666301</v>
      </c>
      <c r="X14" s="32">
        <f t="shared" ref="X14" si="4">POWER(2,W14)</f>
        <v>2.7120069205339812</v>
      </c>
      <c r="Y14" s="33"/>
      <c r="Z14" s="31">
        <f>I14/I116</f>
        <v>1.03051691297033</v>
      </c>
      <c r="AA14" s="32">
        <f>I14-I116</f>
        <v>0.68842354822123397</v>
      </c>
      <c r="AB14" s="32">
        <f t="shared" ref="AB14" si="5">POWER(2,AA14)</f>
        <v>1.6115216251976059</v>
      </c>
      <c r="AC14" s="19"/>
    </row>
    <row r="15" spans="1:29" ht="15" customHeight="1" x14ac:dyDescent="0.25">
      <c r="B15" s="5" t="s">
        <v>287</v>
      </c>
      <c r="C15" s="5" t="s">
        <v>15</v>
      </c>
      <c r="D15" s="5" t="s">
        <v>16</v>
      </c>
      <c r="E15" s="5" t="s">
        <v>20</v>
      </c>
      <c r="F15" s="5" t="s">
        <v>202</v>
      </c>
      <c r="G15" s="5" t="s">
        <v>18</v>
      </c>
      <c r="H15" s="6">
        <v>23.203846848215701</v>
      </c>
      <c r="I15" s="28"/>
      <c r="J15" s="28"/>
      <c r="N15" s="8">
        <v>0</v>
      </c>
      <c r="O15" s="9">
        <v>60</v>
      </c>
      <c r="P15" s="5" t="s">
        <v>16</v>
      </c>
      <c r="Q15" s="19"/>
      <c r="R15" s="31"/>
      <c r="S15" s="32"/>
      <c r="T15" s="32"/>
      <c r="U15" s="33"/>
      <c r="V15" s="31"/>
      <c r="W15" s="32"/>
      <c r="X15" s="32"/>
      <c r="Y15" s="33"/>
      <c r="Z15" s="31"/>
      <c r="AA15" s="32"/>
      <c r="AB15" s="32"/>
      <c r="AC15" s="19"/>
    </row>
    <row r="16" spans="1:29" ht="15" customHeight="1" x14ac:dyDescent="0.25">
      <c r="B16" s="5" t="s">
        <v>288</v>
      </c>
      <c r="C16" s="5" t="s">
        <v>15</v>
      </c>
      <c r="D16" s="5" t="s">
        <v>16</v>
      </c>
      <c r="E16" s="5" t="s">
        <v>20</v>
      </c>
      <c r="F16" s="5" t="s">
        <v>202</v>
      </c>
      <c r="G16" s="5" t="s">
        <v>19</v>
      </c>
      <c r="H16" s="6">
        <v>23.320746429945501</v>
      </c>
      <c r="I16" s="28"/>
      <c r="J16" s="28"/>
      <c r="N16" s="8">
        <v>0</v>
      </c>
      <c r="O16" s="9">
        <v>60</v>
      </c>
      <c r="P16" s="5" t="s">
        <v>16</v>
      </c>
      <c r="Q16" s="19"/>
      <c r="R16" s="31"/>
      <c r="S16" s="32"/>
      <c r="T16" s="32"/>
      <c r="U16" s="33"/>
      <c r="V16" s="31"/>
      <c r="W16" s="32"/>
      <c r="X16" s="32"/>
      <c r="Y16" s="33"/>
      <c r="Z16" s="31"/>
      <c r="AA16" s="32"/>
      <c r="AB16" s="32"/>
      <c r="AC16" s="19"/>
    </row>
    <row r="17" spans="2:29" ht="15" customHeight="1" x14ac:dyDescent="0.25">
      <c r="H17" s="28"/>
      <c r="I17" s="28"/>
      <c r="J17" s="28"/>
      <c r="N17" s="8">
        <v>0</v>
      </c>
      <c r="O17" s="9">
        <v>60</v>
      </c>
      <c r="P17" s="5" t="s">
        <v>16</v>
      </c>
      <c r="Q17" s="19"/>
      <c r="R17" s="31"/>
      <c r="S17" s="32"/>
      <c r="T17" s="32"/>
      <c r="U17" s="33"/>
      <c r="V17" s="31"/>
      <c r="W17" s="32"/>
      <c r="X17" s="32"/>
      <c r="Y17" s="33"/>
      <c r="Z17" s="31"/>
      <c r="AA17" s="32"/>
      <c r="AB17" s="32"/>
      <c r="AC17" s="19"/>
    </row>
    <row r="18" spans="2:29" ht="15" customHeight="1" x14ac:dyDescent="0.25">
      <c r="B18" s="5" t="s">
        <v>289</v>
      </c>
      <c r="C18" s="5" t="s">
        <v>15</v>
      </c>
      <c r="D18" s="5" t="s">
        <v>16</v>
      </c>
      <c r="E18" s="5" t="s">
        <v>20</v>
      </c>
      <c r="F18" s="5" t="s">
        <v>203</v>
      </c>
      <c r="G18" s="5" t="s">
        <v>17</v>
      </c>
      <c r="H18" s="6">
        <v>23.578551506827601</v>
      </c>
      <c r="I18" s="28">
        <f>AVERAGE(H18:H20)</f>
        <v>23.647116734797038</v>
      </c>
      <c r="J18" s="28">
        <f>_xlfn.STDEV.S(H18:H20)</f>
        <v>0.13228260009101159</v>
      </c>
      <c r="Q18" s="19"/>
      <c r="R18" s="31">
        <f>I18/I52</f>
        <v>1.0019214432020207</v>
      </c>
      <c r="S18" s="32">
        <f>I18-I52</f>
        <v>4.5349455294871888E-2</v>
      </c>
      <c r="T18" s="32">
        <f t="shared" si="0"/>
        <v>1.0319331079467753</v>
      </c>
      <c r="U18" s="33"/>
      <c r="V18" s="31">
        <f>I18/I86</f>
        <v>1.0661473716309864</v>
      </c>
      <c r="W18" s="32">
        <f>I18-I86</f>
        <v>1.467146719374302</v>
      </c>
      <c r="X18" s="32">
        <f t="shared" ref="X18" si="6">POWER(2,W18)</f>
        <v>2.7647455681887565</v>
      </c>
      <c r="Y18" s="33"/>
      <c r="Z18" s="31">
        <f>I18/I120</f>
        <v>1.0514199757051326</v>
      </c>
      <c r="AA18" s="32">
        <f>I18-I120</f>
        <v>1.1564685816286051</v>
      </c>
      <c r="AB18" s="32">
        <f t="shared" ref="AB18" si="7">POWER(2,AA18)</f>
        <v>2.2291111905498395</v>
      </c>
      <c r="AC18" s="19"/>
    </row>
    <row r="19" spans="2:29" ht="15" customHeight="1" x14ac:dyDescent="0.25">
      <c r="B19" s="5" t="s">
        <v>290</v>
      </c>
      <c r="C19" s="5" t="s">
        <v>15</v>
      </c>
      <c r="D19" s="5" t="s">
        <v>16</v>
      </c>
      <c r="E19" s="5" t="s">
        <v>20</v>
      </c>
      <c r="F19" s="5" t="s">
        <v>203</v>
      </c>
      <c r="G19" s="5" t="s">
        <v>18</v>
      </c>
      <c r="H19" s="6">
        <v>23.563192777805501</v>
      </c>
      <c r="I19" s="28"/>
      <c r="J19" s="28"/>
      <c r="Q19" s="19"/>
      <c r="R19" s="31"/>
      <c r="S19" s="32"/>
      <c r="T19" s="32"/>
      <c r="U19" s="33"/>
      <c r="V19" s="31"/>
      <c r="W19" s="32"/>
      <c r="X19" s="32"/>
      <c r="Y19" s="33"/>
      <c r="Z19" s="31"/>
      <c r="AA19" s="32"/>
      <c r="AB19" s="32"/>
      <c r="AC19" s="19"/>
    </row>
    <row r="20" spans="2:29" ht="15" customHeight="1" x14ac:dyDescent="0.25">
      <c r="B20" s="5" t="s">
        <v>291</v>
      </c>
      <c r="C20" s="5" t="s">
        <v>15</v>
      </c>
      <c r="D20" s="5" t="s">
        <v>16</v>
      </c>
      <c r="E20" s="5" t="s">
        <v>20</v>
      </c>
      <c r="F20" s="5" t="s">
        <v>203</v>
      </c>
      <c r="G20" s="5" t="s">
        <v>19</v>
      </c>
      <c r="H20" s="6">
        <v>23.799605919758001</v>
      </c>
      <c r="I20" s="28"/>
      <c r="J20" s="28"/>
      <c r="Q20" s="19"/>
      <c r="R20" s="31"/>
      <c r="S20" s="32"/>
      <c r="T20" s="32"/>
      <c r="U20" s="33"/>
      <c r="V20" s="31"/>
      <c r="W20" s="32"/>
      <c r="X20" s="32"/>
      <c r="Y20" s="33"/>
      <c r="Z20" s="31"/>
      <c r="AA20" s="32"/>
      <c r="AB20" s="32"/>
      <c r="AC20" s="19"/>
    </row>
    <row r="21" spans="2:29" ht="15" customHeight="1" x14ac:dyDescent="0.25">
      <c r="H21" s="28"/>
      <c r="I21" s="28"/>
      <c r="J21" s="28"/>
      <c r="N21" s="8">
        <v>0</v>
      </c>
      <c r="O21" s="9">
        <v>60</v>
      </c>
      <c r="P21" s="5" t="s">
        <v>16</v>
      </c>
      <c r="Q21" s="19"/>
      <c r="R21" s="31"/>
      <c r="S21" s="32"/>
      <c r="T21" s="32"/>
      <c r="U21" s="33"/>
      <c r="V21" s="31"/>
      <c r="W21" s="32"/>
      <c r="X21" s="32"/>
      <c r="Y21" s="33"/>
      <c r="Z21" s="31"/>
      <c r="AA21" s="32"/>
      <c r="AB21" s="32"/>
      <c r="AC21" s="19"/>
    </row>
    <row r="22" spans="2:29" ht="15" customHeight="1" x14ac:dyDescent="0.25">
      <c r="B22" s="5" t="s">
        <v>292</v>
      </c>
      <c r="C22" s="5" t="s">
        <v>15</v>
      </c>
      <c r="D22" s="5" t="s">
        <v>16</v>
      </c>
      <c r="E22" s="5" t="s">
        <v>20</v>
      </c>
      <c r="F22" s="5" t="s">
        <v>204</v>
      </c>
      <c r="G22" s="5" t="s">
        <v>17</v>
      </c>
      <c r="H22" s="6">
        <v>22.2257143969114</v>
      </c>
      <c r="I22" s="28">
        <f>AVERAGE(H22:H24)</f>
        <v>22.315189342544269</v>
      </c>
      <c r="J22" s="28">
        <f>_xlfn.STDEV.S(H22:H24)</f>
        <v>0.16361445660589932</v>
      </c>
      <c r="Q22" s="19"/>
      <c r="R22" s="31">
        <f>I22/I56</f>
        <v>1.0025334498390341</v>
      </c>
      <c r="S22" s="32">
        <f>I22-I56</f>
        <v>5.6391547690466837E-2</v>
      </c>
      <c r="T22" s="32">
        <f t="shared" si="0"/>
        <v>1.0398616155088847</v>
      </c>
      <c r="U22" s="33"/>
      <c r="V22" s="31">
        <f>I22/I90</f>
        <v>1.0756542538129243</v>
      </c>
      <c r="W22" s="32">
        <f>I22-I90</f>
        <v>1.5694996718694014</v>
      </c>
      <c r="X22" s="32">
        <f t="shared" ref="X22" si="8">POWER(2,W22)</f>
        <v>2.9680176511666803</v>
      </c>
      <c r="Y22" s="33"/>
      <c r="Z22" s="31">
        <f>I22/I124</f>
        <v>1.0389159718650012</v>
      </c>
      <c r="AA22" s="32">
        <f>I22-I124</f>
        <v>0.83588789096936722</v>
      </c>
      <c r="AB22" s="32">
        <f t="shared" ref="AB22" si="9">POWER(2,AA22)</f>
        <v>1.7849552321509528</v>
      </c>
      <c r="AC22" s="19"/>
    </row>
    <row r="23" spans="2:29" ht="15" customHeight="1" x14ac:dyDescent="0.25">
      <c r="B23" s="5" t="s">
        <v>293</v>
      </c>
      <c r="C23" s="5" t="s">
        <v>15</v>
      </c>
      <c r="D23" s="5" t="s">
        <v>16</v>
      </c>
      <c r="E23" s="5" t="s">
        <v>20</v>
      </c>
      <c r="F23" s="5" t="s">
        <v>204</v>
      </c>
      <c r="G23" s="5" t="s">
        <v>18</v>
      </c>
      <c r="H23" s="6">
        <v>22.2158248861979</v>
      </c>
      <c r="I23" s="28"/>
      <c r="J23" s="28"/>
      <c r="Q23" s="19"/>
      <c r="R23" s="31"/>
      <c r="S23" s="32"/>
      <c r="T23" s="32"/>
      <c r="U23" s="33"/>
      <c r="V23" s="31"/>
      <c r="W23" s="32"/>
      <c r="X23" s="32"/>
      <c r="Y23" s="33"/>
      <c r="Z23" s="31"/>
      <c r="AA23" s="32"/>
      <c r="AB23" s="32"/>
      <c r="AC23" s="19"/>
    </row>
    <row r="24" spans="2:29" ht="15" customHeight="1" x14ac:dyDescent="0.25">
      <c r="B24" s="5" t="s">
        <v>294</v>
      </c>
      <c r="C24" s="5" t="s">
        <v>15</v>
      </c>
      <c r="D24" s="5" t="s">
        <v>16</v>
      </c>
      <c r="E24" s="5" t="s">
        <v>20</v>
      </c>
      <c r="F24" s="5" t="s">
        <v>204</v>
      </c>
      <c r="G24" s="5" t="s">
        <v>19</v>
      </c>
      <c r="H24" s="6">
        <v>22.504028744523499</v>
      </c>
      <c r="I24" s="28"/>
      <c r="J24" s="28"/>
      <c r="Q24" s="19"/>
      <c r="R24" s="31"/>
      <c r="S24" s="32"/>
      <c r="T24" s="32"/>
      <c r="U24" s="33"/>
      <c r="V24" s="31"/>
      <c r="W24" s="32"/>
      <c r="X24" s="32"/>
      <c r="Y24" s="33"/>
      <c r="Z24" s="31"/>
      <c r="AA24" s="32"/>
      <c r="AB24" s="32"/>
      <c r="AC24" s="19"/>
    </row>
    <row r="25" spans="2:29" ht="15" customHeight="1" x14ac:dyDescent="0.25">
      <c r="H25" s="28"/>
      <c r="I25" s="28"/>
      <c r="J25" s="28"/>
      <c r="Q25" s="19"/>
      <c r="R25" s="31"/>
      <c r="S25" s="32"/>
      <c r="T25" s="32"/>
      <c r="U25" s="33"/>
      <c r="V25" s="31"/>
      <c r="W25" s="32"/>
      <c r="X25" s="32"/>
      <c r="Y25" s="33"/>
      <c r="Z25" s="31"/>
      <c r="AA25" s="32"/>
      <c r="AB25" s="32"/>
      <c r="AC25" s="19"/>
    </row>
    <row r="26" spans="2:29" ht="15" customHeight="1" x14ac:dyDescent="0.25">
      <c r="B26" s="5" t="s">
        <v>295</v>
      </c>
      <c r="C26" s="5" t="s">
        <v>15</v>
      </c>
      <c r="D26" s="5" t="s">
        <v>16</v>
      </c>
      <c r="E26" s="5" t="s">
        <v>20</v>
      </c>
      <c r="F26" s="5" t="s">
        <v>205</v>
      </c>
      <c r="G26" s="5" t="s">
        <v>17</v>
      </c>
      <c r="H26" s="6">
        <v>23.287405314919301</v>
      </c>
      <c r="I26" s="28">
        <f>AVERAGE(H26:H28)</f>
        <v>23.374627655470864</v>
      </c>
      <c r="J26" s="28">
        <f>_xlfn.STDEV.S(H26:H28)</f>
        <v>0.11622379233281195</v>
      </c>
      <c r="N26" s="8">
        <v>0</v>
      </c>
      <c r="O26" s="9">
        <v>60</v>
      </c>
      <c r="P26" s="5" t="s">
        <v>16</v>
      </c>
      <c r="Q26" s="19"/>
      <c r="R26" s="31">
        <f>I26/I60</f>
        <v>1.0087108337059301</v>
      </c>
      <c r="S26" s="32">
        <f>I26-I60</f>
        <v>0.20185417628239932</v>
      </c>
      <c r="T26" s="32">
        <f t="shared" si="0"/>
        <v>1.1501756308291429</v>
      </c>
      <c r="U26" s="33"/>
      <c r="V26" s="31">
        <f>I26/I94</f>
        <v>1.0708855768419767</v>
      </c>
      <c r="W26" s="32">
        <f>I26-I94</f>
        <v>1.5472465038801957</v>
      </c>
      <c r="X26" s="32">
        <f t="shared" ref="X26" si="10">POWER(2,W26)</f>
        <v>2.9225880779713691</v>
      </c>
      <c r="Y26" s="33"/>
      <c r="Z26" s="31">
        <f>I26/I128</f>
        <v>1.0246844521914491</v>
      </c>
      <c r="AA26" s="32">
        <f>I26-I128</f>
        <v>0.56309030318593045</v>
      </c>
      <c r="AB26" s="32">
        <f>POWER(2,AA26)</f>
        <v>1.47743053808714</v>
      </c>
      <c r="AC26" s="19"/>
    </row>
    <row r="27" spans="2:29" ht="15" customHeight="1" x14ac:dyDescent="0.25">
      <c r="B27" s="5" t="s">
        <v>296</v>
      </c>
      <c r="C27" s="5" t="s">
        <v>15</v>
      </c>
      <c r="D27" s="5" t="s">
        <v>16</v>
      </c>
      <c r="E27" s="5" t="s">
        <v>20</v>
      </c>
      <c r="F27" s="5" t="s">
        <v>205</v>
      </c>
      <c r="G27" s="5" t="s">
        <v>18</v>
      </c>
      <c r="H27" s="6">
        <v>23.3299089475301</v>
      </c>
      <c r="I27" s="28"/>
      <c r="J27" s="28"/>
      <c r="N27" s="8">
        <v>0</v>
      </c>
      <c r="O27" s="9">
        <v>60</v>
      </c>
      <c r="P27" s="5" t="s">
        <v>16</v>
      </c>
      <c r="Q27" s="19"/>
      <c r="R27" s="31"/>
      <c r="S27" s="32"/>
      <c r="T27" s="32"/>
      <c r="U27" s="33"/>
      <c r="V27" s="31"/>
      <c r="W27" s="32"/>
      <c r="X27" s="32"/>
      <c r="Y27" s="33"/>
      <c r="Z27" s="31"/>
      <c r="AA27" s="32"/>
      <c r="AB27" s="32"/>
      <c r="AC27" s="19"/>
    </row>
    <row r="28" spans="2:29" ht="15" customHeight="1" x14ac:dyDescent="0.25">
      <c r="B28" s="5" t="s">
        <v>297</v>
      </c>
      <c r="C28" s="5" t="s">
        <v>15</v>
      </c>
      <c r="D28" s="5" t="s">
        <v>16</v>
      </c>
      <c r="E28" s="5" t="s">
        <v>20</v>
      </c>
      <c r="F28" s="5" t="s">
        <v>205</v>
      </c>
      <c r="G28" s="5" t="s">
        <v>19</v>
      </c>
      <c r="H28" s="6">
        <v>23.5065687039632</v>
      </c>
      <c r="I28" s="28"/>
      <c r="J28" s="28"/>
      <c r="N28" s="8">
        <v>0</v>
      </c>
      <c r="O28" s="9">
        <v>60</v>
      </c>
      <c r="P28" s="5" t="s">
        <v>16</v>
      </c>
      <c r="Q28" s="19"/>
      <c r="R28" s="31"/>
      <c r="S28" s="32"/>
      <c r="T28" s="32"/>
      <c r="U28" s="33"/>
      <c r="V28" s="31"/>
      <c r="W28" s="32"/>
      <c r="X28" s="32"/>
      <c r="Y28" s="33"/>
      <c r="Z28" s="31"/>
      <c r="AA28" s="32"/>
      <c r="AB28" s="32"/>
      <c r="AC28" s="19"/>
    </row>
    <row r="29" spans="2:29" ht="15" customHeight="1" x14ac:dyDescent="0.25">
      <c r="H29" s="28"/>
      <c r="I29" s="28"/>
      <c r="J29" s="28"/>
      <c r="N29" s="8">
        <v>0</v>
      </c>
      <c r="O29" s="9">
        <v>60</v>
      </c>
      <c r="P29" s="5" t="s">
        <v>16</v>
      </c>
      <c r="Q29" s="19"/>
      <c r="R29" s="31"/>
      <c r="S29" s="32"/>
      <c r="T29" s="32"/>
      <c r="U29" s="33"/>
      <c r="V29" s="31"/>
      <c r="W29" s="32"/>
      <c r="X29" s="32"/>
      <c r="Y29" s="33"/>
      <c r="Z29" s="31"/>
      <c r="AA29" s="32"/>
      <c r="AB29" s="32"/>
      <c r="AC29" s="19"/>
    </row>
    <row r="30" spans="2:29" ht="15" customHeight="1" x14ac:dyDescent="0.25">
      <c r="B30" s="5" t="s">
        <v>298</v>
      </c>
      <c r="C30" s="5" t="s">
        <v>15</v>
      </c>
      <c r="D30" s="5" t="s">
        <v>16</v>
      </c>
      <c r="E30" s="5" t="s">
        <v>20</v>
      </c>
      <c r="F30" s="5" t="s">
        <v>206</v>
      </c>
      <c r="G30" s="5" t="s">
        <v>17</v>
      </c>
      <c r="H30" s="6">
        <v>22.043906332515402</v>
      </c>
      <c r="I30" s="28">
        <f>AVERAGE(H30:H32)</f>
        <v>22.047193996098301</v>
      </c>
      <c r="J30" s="28">
        <f>_xlfn.STDEV.S(H30:H32)</f>
        <v>0.1640347431107492</v>
      </c>
      <c r="N30" s="8">
        <v>0</v>
      </c>
      <c r="O30" s="9">
        <v>60</v>
      </c>
      <c r="P30" s="5" t="s">
        <v>16</v>
      </c>
      <c r="Q30" s="19"/>
      <c r="R30" s="31">
        <f>I30/I64</f>
        <v>1.0148600649543207</v>
      </c>
      <c r="S30" s="32">
        <f>I30-I64</f>
        <v>0.32282552654909935</v>
      </c>
      <c r="T30" s="32">
        <f t="shared" si="0"/>
        <v>1.2507778071758595</v>
      </c>
      <c r="U30" s="33"/>
      <c r="V30" s="31">
        <f>I30/I98</f>
        <v>1.0795911503655142</v>
      </c>
      <c r="W30" s="32">
        <f>I30-I98</f>
        <v>1.6253945133646361</v>
      </c>
      <c r="X30" s="32">
        <f>POWER(2,W30)</f>
        <v>3.085265219221434</v>
      </c>
      <c r="Y30" s="33"/>
      <c r="Z30" s="31">
        <f>I30/I132</f>
        <v>1.0412717567426779</v>
      </c>
      <c r="AA30" s="32">
        <f>I30-I132</f>
        <v>0.87386066276496877</v>
      </c>
      <c r="AB30" s="32">
        <f>POWER(2,AA30)</f>
        <v>1.8325602899102842</v>
      </c>
      <c r="AC30" s="19"/>
    </row>
    <row r="31" spans="2:29" ht="15" customHeight="1" x14ac:dyDescent="0.25">
      <c r="B31" s="5" t="s">
        <v>299</v>
      </c>
      <c r="C31" s="5" t="s">
        <v>15</v>
      </c>
      <c r="D31" s="5" t="s">
        <v>16</v>
      </c>
      <c r="E31" s="5" t="s">
        <v>20</v>
      </c>
      <c r="F31" s="5" t="s">
        <v>206</v>
      </c>
      <c r="G31" s="5" t="s">
        <v>18</v>
      </c>
      <c r="H31" s="6">
        <v>21.884827796493699</v>
      </c>
      <c r="I31" s="28"/>
      <c r="J31" s="28"/>
      <c r="N31" s="8">
        <v>0</v>
      </c>
      <c r="O31" s="9">
        <v>60</v>
      </c>
      <c r="P31" s="5" t="s">
        <v>16</v>
      </c>
      <c r="Q31" s="19"/>
      <c r="R31" s="23"/>
      <c r="S31" s="24"/>
      <c r="T31" s="24"/>
      <c r="U31" s="25"/>
      <c r="V31" s="23"/>
      <c r="W31" s="24"/>
      <c r="X31" s="24"/>
      <c r="Y31" s="25"/>
      <c r="Z31" s="23"/>
      <c r="AA31" s="24"/>
      <c r="AB31" s="24"/>
      <c r="AC31" s="19"/>
    </row>
    <row r="32" spans="2:29" ht="15" customHeight="1" x14ac:dyDescent="0.25">
      <c r="B32" s="5" t="s">
        <v>300</v>
      </c>
      <c r="C32" s="5" t="s">
        <v>15</v>
      </c>
      <c r="D32" s="5" t="s">
        <v>16</v>
      </c>
      <c r="E32" s="5" t="s">
        <v>20</v>
      </c>
      <c r="F32" s="5" t="s">
        <v>206</v>
      </c>
      <c r="G32" s="5" t="s">
        <v>19</v>
      </c>
      <c r="H32" s="6">
        <v>22.212847859285802</v>
      </c>
      <c r="I32" s="28"/>
      <c r="J32" s="28"/>
      <c r="N32" s="8">
        <v>0</v>
      </c>
      <c r="O32" s="9">
        <v>60</v>
      </c>
      <c r="P32" s="5" t="s">
        <v>16</v>
      </c>
      <c r="Q32" s="19"/>
      <c r="R32" s="23"/>
      <c r="S32" s="24"/>
      <c r="T32" s="24"/>
      <c r="U32" s="25"/>
      <c r="V32" s="23"/>
      <c r="W32" s="24"/>
      <c r="X32" s="24"/>
      <c r="Y32" s="25"/>
      <c r="Z32" s="23"/>
      <c r="AA32" s="24"/>
      <c r="AB32" s="24"/>
      <c r="AC32" s="19"/>
    </row>
    <row r="33" spans="2:29" ht="15" customHeight="1" x14ac:dyDescent="0.25">
      <c r="B33" s="11"/>
      <c r="C33" s="11"/>
      <c r="D33" s="11"/>
      <c r="E33" s="11"/>
      <c r="F33" s="11"/>
      <c r="G33" s="11"/>
      <c r="H33" s="29"/>
      <c r="I33" s="29"/>
      <c r="J33" s="29"/>
      <c r="K33" s="13"/>
      <c r="L33" s="12"/>
      <c r="M33" s="13"/>
      <c r="N33" s="13">
        <v>0</v>
      </c>
      <c r="O33" s="14">
        <v>60</v>
      </c>
      <c r="P33" s="11" t="s">
        <v>16</v>
      </c>
      <c r="Q33" s="20"/>
      <c r="R33" s="26"/>
      <c r="S33" s="24"/>
      <c r="T33" s="24"/>
      <c r="U33" s="27"/>
      <c r="V33" s="26"/>
      <c r="W33" s="24"/>
      <c r="X33" s="24"/>
      <c r="Y33" s="27"/>
      <c r="Z33" s="26"/>
      <c r="AA33" s="24"/>
      <c r="AB33" s="24"/>
      <c r="AC33" s="20"/>
    </row>
    <row r="34" spans="2:29" ht="15" customHeight="1" x14ac:dyDescent="0.2">
      <c r="B34" s="21"/>
      <c r="C34" s="21"/>
      <c r="D34" s="21"/>
      <c r="E34" s="21"/>
      <c r="F34" s="21"/>
      <c r="G34" s="21"/>
      <c r="H34" s="30"/>
      <c r="I34" s="30"/>
      <c r="J34" s="30"/>
      <c r="K34" s="21"/>
      <c r="L34" s="21"/>
      <c r="M34" s="21"/>
      <c r="N34" s="21">
        <v>0</v>
      </c>
      <c r="O34" s="21">
        <v>60</v>
      </c>
      <c r="P34" s="21" t="s">
        <v>16</v>
      </c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2:29" ht="15" customHeight="1" x14ac:dyDescent="0.2">
      <c r="B35" s="10"/>
      <c r="C35" s="10"/>
      <c r="D35" s="10"/>
      <c r="E35" s="10"/>
      <c r="F35" s="10"/>
      <c r="G35" s="10"/>
      <c r="H35" s="28"/>
      <c r="I35" s="28"/>
      <c r="J35" s="28"/>
      <c r="K35" s="10"/>
      <c r="L35" s="10"/>
      <c r="M35" s="10"/>
      <c r="N35" s="10"/>
      <c r="O35" s="10"/>
      <c r="P35" s="10"/>
      <c r="Q35" s="19"/>
      <c r="R35" s="17"/>
      <c r="U35" s="19"/>
      <c r="V35" s="17"/>
      <c r="Y35" s="19"/>
      <c r="Z35" s="17"/>
      <c r="AC35" s="19"/>
    </row>
    <row r="36" spans="2:29" ht="15" customHeight="1" x14ac:dyDescent="0.2">
      <c r="B36" s="5" t="s">
        <v>271</v>
      </c>
      <c r="C36" s="5" t="s">
        <v>15</v>
      </c>
      <c r="D36" s="5" t="s">
        <v>16</v>
      </c>
      <c r="E36" s="5" t="s">
        <v>20</v>
      </c>
      <c r="F36" s="5" t="s">
        <v>207</v>
      </c>
      <c r="G36" s="5" t="s">
        <v>17</v>
      </c>
      <c r="H36" s="6">
        <v>22.442981362775502</v>
      </c>
      <c r="I36" s="28">
        <f>AVERAGE(H36:H38)</f>
        <v>22.281250750441163</v>
      </c>
      <c r="J36" s="28">
        <f>_xlfn.STDEV.S(H36:H38)</f>
        <v>0.14278482483624005</v>
      </c>
      <c r="N36" s="8">
        <v>0</v>
      </c>
      <c r="O36" s="9">
        <v>60</v>
      </c>
      <c r="P36" s="5" t="s">
        <v>16</v>
      </c>
      <c r="Q36" s="19"/>
      <c r="R36" s="17"/>
      <c r="U36" s="19"/>
      <c r="V36" s="17"/>
      <c r="Y36" s="19"/>
      <c r="Z36" s="17"/>
      <c r="AC36" s="19"/>
    </row>
    <row r="37" spans="2:29" ht="15" customHeight="1" x14ac:dyDescent="0.2">
      <c r="B37" s="5" t="s">
        <v>272</v>
      </c>
      <c r="C37" s="5" t="s">
        <v>15</v>
      </c>
      <c r="D37" s="5" t="s">
        <v>16</v>
      </c>
      <c r="E37" s="5" t="s">
        <v>20</v>
      </c>
      <c r="F37" s="5" t="s">
        <v>207</v>
      </c>
      <c r="G37" s="5" t="s">
        <v>18</v>
      </c>
      <c r="H37" s="6">
        <v>22.228132750070898</v>
      </c>
      <c r="I37" s="28"/>
      <c r="J37" s="28"/>
      <c r="Q37" s="19"/>
      <c r="R37" s="17"/>
      <c r="U37" s="19"/>
      <c r="V37" s="17"/>
      <c r="Y37" s="19"/>
      <c r="Z37" s="17"/>
      <c r="AC37" s="19"/>
    </row>
    <row r="38" spans="2:29" ht="15" customHeight="1" x14ac:dyDescent="0.2">
      <c r="B38" s="5" t="s">
        <v>273</v>
      </c>
      <c r="C38" s="5" t="s">
        <v>15</v>
      </c>
      <c r="D38" s="5" t="s">
        <v>16</v>
      </c>
      <c r="E38" s="5" t="s">
        <v>20</v>
      </c>
      <c r="F38" s="5" t="s">
        <v>207</v>
      </c>
      <c r="G38" s="5" t="s">
        <v>19</v>
      </c>
      <c r="H38" s="6">
        <v>22.172638138477101</v>
      </c>
      <c r="I38" s="28"/>
      <c r="J38" s="28"/>
      <c r="Q38" s="19"/>
      <c r="R38" s="17"/>
      <c r="U38" s="19"/>
      <c r="V38" s="17"/>
      <c r="Y38" s="19"/>
      <c r="Z38" s="17"/>
      <c r="AC38" s="19"/>
    </row>
    <row r="39" spans="2:29" ht="15" customHeight="1" x14ac:dyDescent="0.2">
      <c r="H39" s="28"/>
      <c r="I39" s="28"/>
      <c r="J39" s="28"/>
      <c r="N39" s="8">
        <v>0</v>
      </c>
      <c r="O39" s="9">
        <v>60</v>
      </c>
      <c r="P39" s="5" t="s">
        <v>16</v>
      </c>
      <c r="Q39" s="19"/>
      <c r="R39" s="17"/>
      <c r="U39" s="19"/>
      <c r="V39" s="17"/>
      <c r="Y39" s="19"/>
      <c r="Z39" s="17"/>
      <c r="AC39" s="19"/>
    </row>
    <row r="40" spans="2:29" ht="15" customHeight="1" x14ac:dyDescent="0.2">
      <c r="B40" s="5" t="s">
        <v>277</v>
      </c>
      <c r="C40" s="5" t="s">
        <v>15</v>
      </c>
      <c r="D40" s="5" t="s">
        <v>16</v>
      </c>
      <c r="E40" s="5" t="s">
        <v>20</v>
      </c>
      <c r="F40" s="5" t="s">
        <v>208</v>
      </c>
      <c r="G40" s="5" t="s">
        <v>17</v>
      </c>
      <c r="H40" s="6">
        <v>24.6475644834128</v>
      </c>
      <c r="I40" s="28">
        <f>AVERAGE(H40:H42)</f>
        <v>24.452594271971535</v>
      </c>
      <c r="J40" s="28">
        <f>_xlfn.STDEV.S(H40:H42)</f>
        <v>0.1751100350493513</v>
      </c>
      <c r="N40" s="8">
        <v>0</v>
      </c>
      <c r="O40" s="9">
        <v>60</v>
      </c>
      <c r="P40" s="5" t="s">
        <v>16</v>
      </c>
      <c r="Q40" s="19"/>
      <c r="R40" s="17"/>
      <c r="U40" s="19"/>
      <c r="V40" s="17"/>
      <c r="Y40" s="19"/>
      <c r="Z40" s="17"/>
      <c r="AC40" s="19"/>
    </row>
    <row r="41" spans="2:29" ht="15" customHeight="1" x14ac:dyDescent="0.2">
      <c r="B41" s="5" t="s">
        <v>278</v>
      </c>
      <c r="C41" s="5" t="s">
        <v>15</v>
      </c>
      <c r="D41" s="5" t="s">
        <v>16</v>
      </c>
      <c r="E41" s="5" t="s">
        <v>20</v>
      </c>
      <c r="F41" s="5" t="s">
        <v>208</v>
      </c>
      <c r="G41" s="5" t="s">
        <v>18</v>
      </c>
      <c r="H41" s="6">
        <v>24.401514843305499</v>
      </c>
      <c r="I41" s="28"/>
      <c r="J41" s="28"/>
      <c r="N41" s="8">
        <v>0</v>
      </c>
      <c r="O41" s="9">
        <v>60</v>
      </c>
      <c r="P41" s="5" t="s">
        <v>16</v>
      </c>
      <c r="Q41" s="19"/>
      <c r="R41" s="17"/>
      <c r="U41" s="19"/>
      <c r="V41" s="17"/>
      <c r="Y41" s="19"/>
      <c r="Z41" s="17"/>
      <c r="AC41" s="19"/>
    </row>
    <row r="42" spans="2:29" ht="15" customHeight="1" x14ac:dyDescent="0.2">
      <c r="B42" s="5" t="s">
        <v>279</v>
      </c>
      <c r="C42" s="5" t="s">
        <v>15</v>
      </c>
      <c r="D42" s="5" t="s">
        <v>16</v>
      </c>
      <c r="E42" s="5" t="s">
        <v>20</v>
      </c>
      <c r="F42" s="5" t="s">
        <v>208</v>
      </c>
      <c r="G42" s="5" t="s">
        <v>19</v>
      </c>
      <c r="H42" s="6">
        <v>24.308703489196301</v>
      </c>
      <c r="I42" s="28"/>
      <c r="J42" s="28"/>
      <c r="N42" s="8">
        <v>0</v>
      </c>
      <c r="O42" s="9">
        <v>60</v>
      </c>
      <c r="P42" s="5" t="s">
        <v>16</v>
      </c>
      <c r="Q42" s="19"/>
      <c r="R42" s="17"/>
      <c r="U42" s="19"/>
      <c r="V42" s="17"/>
      <c r="Y42" s="19"/>
      <c r="Z42" s="17"/>
      <c r="AC42" s="19"/>
    </row>
    <row r="43" spans="2:29" ht="15" customHeight="1" x14ac:dyDescent="0.2">
      <c r="H43" s="28"/>
      <c r="I43" s="28"/>
      <c r="J43" s="28"/>
      <c r="N43" s="8">
        <v>0</v>
      </c>
      <c r="O43" s="9">
        <v>60</v>
      </c>
      <c r="P43" s="5" t="s">
        <v>16</v>
      </c>
      <c r="Q43" s="19"/>
      <c r="R43" s="17"/>
      <c r="U43" s="19"/>
      <c r="V43" s="17"/>
      <c r="Y43" s="19"/>
      <c r="Z43" s="17"/>
      <c r="AC43" s="19"/>
    </row>
    <row r="44" spans="2:29" ht="15" customHeight="1" x14ac:dyDescent="0.2">
      <c r="B44" s="5" t="s">
        <v>21</v>
      </c>
      <c r="C44" s="5" t="s">
        <v>15</v>
      </c>
      <c r="D44" s="5" t="s">
        <v>16</v>
      </c>
      <c r="E44" s="5" t="s">
        <v>20</v>
      </c>
      <c r="F44" s="5" t="s">
        <v>209</v>
      </c>
      <c r="G44" s="5" t="s">
        <v>17</v>
      </c>
      <c r="H44" s="6">
        <v>23.643236230586702</v>
      </c>
      <c r="I44" s="28">
        <f>AVERAGE(H44:H46)</f>
        <v>23.626034149180271</v>
      </c>
      <c r="J44" s="28">
        <f>_xlfn.STDEV.S(H44:H46)</f>
        <v>4.7319339556469303E-2</v>
      </c>
      <c r="N44" s="8">
        <v>0</v>
      </c>
      <c r="O44" s="9">
        <v>60</v>
      </c>
      <c r="P44" s="5" t="s">
        <v>16</v>
      </c>
      <c r="Q44" s="19"/>
      <c r="R44" s="17"/>
      <c r="U44" s="19"/>
      <c r="V44" s="17"/>
      <c r="Y44" s="19"/>
      <c r="Z44" s="17"/>
      <c r="AC44" s="19"/>
    </row>
    <row r="45" spans="2:29" ht="15" customHeight="1" x14ac:dyDescent="0.2">
      <c r="B45" s="5" t="s">
        <v>23</v>
      </c>
      <c r="C45" s="5" t="s">
        <v>15</v>
      </c>
      <c r="D45" s="5" t="s">
        <v>16</v>
      </c>
      <c r="E45" s="5" t="s">
        <v>20</v>
      </c>
      <c r="F45" s="5" t="s">
        <v>209</v>
      </c>
      <c r="G45" s="5" t="s">
        <v>18</v>
      </c>
      <c r="H45" s="6">
        <v>23.572520012474602</v>
      </c>
      <c r="I45" s="28"/>
      <c r="J45" s="28"/>
      <c r="N45" s="8">
        <v>0</v>
      </c>
      <c r="O45" s="9">
        <v>60</v>
      </c>
      <c r="P45" s="5" t="s">
        <v>16</v>
      </c>
      <c r="Q45" s="19"/>
      <c r="R45" s="17"/>
      <c r="U45" s="19"/>
      <c r="V45" s="17"/>
      <c r="Y45" s="19"/>
      <c r="Z45" s="17"/>
      <c r="AC45" s="19"/>
    </row>
    <row r="46" spans="2:29" ht="15" customHeight="1" x14ac:dyDescent="0.2">
      <c r="B46" s="5" t="s">
        <v>24</v>
      </c>
      <c r="C46" s="5" t="s">
        <v>15</v>
      </c>
      <c r="D46" s="5" t="s">
        <v>16</v>
      </c>
      <c r="E46" s="5" t="s">
        <v>20</v>
      </c>
      <c r="F46" s="5" t="s">
        <v>209</v>
      </c>
      <c r="G46" s="5" t="s">
        <v>19</v>
      </c>
      <c r="H46" s="6">
        <v>23.662346204479501</v>
      </c>
      <c r="I46" s="28"/>
      <c r="J46" s="28"/>
      <c r="N46" s="8">
        <v>0</v>
      </c>
      <c r="O46" s="9">
        <v>60</v>
      </c>
      <c r="P46" s="5" t="s">
        <v>16</v>
      </c>
      <c r="Q46" s="19"/>
      <c r="R46" s="17"/>
      <c r="U46" s="19"/>
      <c r="V46" s="17"/>
      <c r="Y46" s="19"/>
      <c r="Z46" s="17"/>
      <c r="AC46" s="19"/>
    </row>
    <row r="47" spans="2:29" ht="15" customHeight="1" x14ac:dyDescent="0.2">
      <c r="B47" s="10"/>
      <c r="C47" s="10"/>
      <c r="D47" s="10"/>
      <c r="E47" s="10"/>
      <c r="F47" s="10"/>
      <c r="H47" s="28"/>
      <c r="I47" s="28"/>
      <c r="J47" s="28"/>
      <c r="N47" s="8">
        <v>0</v>
      </c>
      <c r="O47" s="9">
        <v>60</v>
      </c>
      <c r="P47" s="5" t="s">
        <v>16</v>
      </c>
      <c r="Q47" s="19"/>
      <c r="R47" s="17"/>
      <c r="U47" s="19"/>
      <c r="V47" s="17"/>
      <c r="Y47" s="19"/>
      <c r="Z47" s="17"/>
      <c r="AC47" s="19"/>
    </row>
    <row r="48" spans="2:29" ht="15" customHeight="1" x14ac:dyDescent="0.2">
      <c r="B48" s="5" t="s">
        <v>25</v>
      </c>
      <c r="C48" s="5" t="s">
        <v>15</v>
      </c>
      <c r="D48" s="5" t="s">
        <v>16</v>
      </c>
      <c r="E48" s="5" t="s">
        <v>20</v>
      </c>
      <c r="F48" s="5" t="s">
        <v>210</v>
      </c>
      <c r="G48" s="5" t="s">
        <v>17</v>
      </c>
      <c r="H48" s="6">
        <v>23.320750790367502</v>
      </c>
      <c r="I48" s="28">
        <f>AVERAGE(H48:H50)</f>
        <v>23.2244322995905</v>
      </c>
      <c r="J48" s="28">
        <f>_xlfn.STDEV.S(H48:H50)</f>
        <v>8.3853979848073232E-2</v>
      </c>
      <c r="N48" s="8">
        <v>0</v>
      </c>
      <c r="O48" s="9">
        <v>60</v>
      </c>
      <c r="P48" s="5" t="s">
        <v>16</v>
      </c>
      <c r="Q48" s="19"/>
      <c r="R48" s="17"/>
      <c r="U48" s="19"/>
      <c r="V48" s="17"/>
      <c r="Y48" s="19"/>
      <c r="Z48" s="17"/>
      <c r="AC48" s="19"/>
    </row>
    <row r="49" spans="2:29" ht="15" customHeight="1" x14ac:dyDescent="0.2">
      <c r="B49" s="5" t="s">
        <v>27</v>
      </c>
      <c r="C49" s="5" t="s">
        <v>15</v>
      </c>
      <c r="D49" s="5" t="s">
        <v>16</v>
      </c>
      <c r="E49" s="5" t="s">
        <v>20</v>
      </c>
      <c r="F49" s="5" t="s">
        <v>210</v>
      </c>
      <c r="G49" s="5" t="s">
        <v>18</v>
      </c>
      <c r="H49" s="6">
        <v>23.1848492530798</v>
      </c>
      <c r="I49" s="28"/>
      <c r="J49" s="28"/>
      <c r="N49" s="8">
        <v>0</v>
      </c>
      <c r="O49" s="9">
        <v>60</v>
      </c>
      <c r="P49" s="5" t="s">
        <v>16</v>
      </c>
      <c r="Q49" s="19"/>
      <c r="R49" s="17"/>
      <c r="U49" s="19"/>
      <c r="V49" s="17"/>
      <c r="Y49" s="19"/>
      <c r="Z49" s="17"/>
      <c r="AC49" s="19"/>
    </row>
    <row r="50" spans="2:29" ht="15" customHeight="1" x14ac:dyDescent="0.2">
      <c r="B50" s="5" t="s">
        <v>28</v>
      </c>
      <c r="C50" s="5" t="s">
        <v>15</v>
      </c>
      <c r="D50" s="5" t="s">
        <v>16</v>
      </c>
      <c r="E50" s="5" t="s">
        <v>20</v>
      </c>
      <c r="F50" s="5" t="s">
        <v>210</v>
      </c>
      <c r="G50" s="5" t="s">
        <v>19</v>
      </c>
      <c r="H50" s="6">
        <v>23.167696855324198</v>
      </c>
      <c r="I50" s="28"/>
      <c r="J50" s="28"/>
      <c r="N50" s="8">
        <v>0</v>
      </c>
      <c r="O50" s="9">
        <v>60</v>
      </c>
      <c r="P50" s="5" t="s">
        <v>16</v>
      </c>
      <c r="Q50" s="19"/>
      <c r="R50" s="17"/>
      <c r="U50" s="19"/>
      <c r="V50" s="17"/>
      <c r="Y50" s="19"/>
      <c r="Z50" s="17"/>
      <c r="AC50" s="19"/>
    </row>
    <row r="51" spans="2:29" ht="15" customHeight="1" x14ac:dyDescent="0.2">
      <c r="B51" s="10"/>
      <c r="C51" s="10"/>
      <c r="D51" s="10"/>
      <c r="E51" s="10"/>
      <c r="F51" s="10"/>
      <c r="H51" s="28"/>
      <c r="I51" s="28"/>
      <c r="J51" s="28"/>
      <c r="N51" s="8">
        <v>0</v>
      </c>
      <c r="O51" s="9">
        <v>60</v>
      </c>
      <c r="P51" s="5" t="s">
        <v>16</v>
      </c>
      <c r="Q51" s="19"/>
      <c r="R51" s="17"/>
      <c r="U51" s="19"/>
      <c r="V51" s="17"/>
      <c r="Y51" s="19"/>
      <c r="Z51" s="17"/>
      <c r="AC51" s="19"/>
    </row>
    <row r="52" spans="2:29" ht="15" customHeight="1" x14ac:dyDescent="0.2">
      <c r="B52" s="5" t="s">
        <v>29</v>
      </c>
      <c r="C52" s="5" t="s">
        <v>15</v>
      </c>
      <c r="D52" s="5" t="s">
        <v>16</v>
      </c>
      <c r="E52" s="5" t="s">
        <v>20</v>
      </c>
      <c r="F52" s="5" t="s">
        <v>211</v>
      </c>
      <c r="G52" s="5" t="s">
        <v>17</v>
      </c>
      <c r="H52" s="6">
        <v>23.677149152319501</v>
      </c>
      <c r="I52" s="28">
        <f>AVERAGE(H52:H54)</f>
        <v>23.601767279502166</v>
      </c>
      <c r="J52" s="28">
        <f>_xlfn.STDEV.S(H52:H54)</f>
        <v>7.1729486618118926E-2</v>
      </c>
      <c r="N52" s="8">
        <v>0</v>
      </c>
      <c r="O52" s="9">
        <v>60</v>
      </c>
      <c r="P52" s="5" t="s">
        <v>16</v>
      </c>
      <c r="Q52" s="19"/>
      <c r="R52" s="17"/>
      <c r="U52" s="19"/>
      <c r="V52" s="17"/>
      <c r="Y52" s="19"/>
      <c r="Z52" s="17"/>
      <c r="AC52" s="19"/>
    </row>
    <row r="53" spans="2:29" ht="15" customHeight="1" x14ac:dyDescent="0.2">
      <c r="B53" s="5" t="s">
        <v>31</v>
      </c>
      <c r="C53" s="5" t="s">
        <v>15</v>
      </c>
      <c r="D53" s="5" t="s">
        <v>16</v>
      </c>
      <c r="E53" s="5" t="s">
        <v>20</v>
      </c>
      <c r="F53" s="5" t="s">
        <v>211</v>
      </c>
      <c r="G53" s="5" t="s">
        <v>18</v>
      </c>
      <c r="H53" s="6">
        <v>23.593796692829201</v>
      </c>
      <c r="I53" s="28"/>
      <c r="J53" s="28"/>
      <c r="N53" s="8">
        <v>0</v>
      </c>
      <c r="O53" s="9">
        <v>60</v>
      </c>
      <c r="P53" s="5" t="s">
        <v>16</v>
      </c>
      <c r="Q53" s="19"/>
      <c r="R53" s="17"/>
      <c r="U53" s="19"/>
      <c r="V53" s="17"/>
      <c r="Y53" s="19"/>
      <c r="Z53" s="17"/>
      <c r="AC53" s="19"/>
    </row>
    <row r="54" spans="2:29" ht="15" customHeight="1" x14ac:dyDescent="0.2">
      <c r="B54" s="5" t="s">
        <v>32</v>
      </c>
      <c r="C54" s="5" t="s">
        <v>15</v>
      </c>
      <c r="D54" s="5" t="s">
        <v>16</v>
      </c>
      <c r="E54" s="5" t="s">
        <v>20</v>
      </c>
      <c r="F54" s="5" t="s">
        <v>211</v>
      </c>
      <c r="G54" s="5" t="s">
        <v>19</v>
      </c>
      <c r="H54" s="6">
        <v>23.534355993357799</v>
      </c>
      <c r="I54" s="28"/>
      <c r="J54" s="28"/>
      <c r="N54" s="8">
        <v>0</v>
      </c>
      <c r="O54" s="9">
        <v>60</v>
      </c>
      <c r="P54" s="5" t="s">
        <v>16</v>
      </c>
      <c r="Q54" s="19"/>
      <c r="R54" s="17"/>
      <c r="U54" s="19"/>
      <c r="V54" s="17"/>
      <c r="Y54" s="19"/>
      <c r="Z54" s="17"/>
      <c r="AC54" s="19"/>
    </row>
    <row r="55" spans="2:29" x14ac:dyDescent="0.2">
      <c r="H55" s="28"/>
      <c r="I55" s="28"/>
      <c r="J55" s="28"/>
      <c r="Q55" s="19"/>
      <c r="R55" s="17"/>
      <c r="U55" s="19"/>
      <c r="V55" s="17"/>
      <c r="Y55" s="19"/>
      <c r="Z55" s="17"/>
      <c r="AC55" s="19"/>
    </row>
    <row r="56" spans="2:29" ht="15" customHeight="1" x14ac:dyDescent="0.2">
      <c r="B56" s="5" t="s">
        <v>33</v>
      </c>
      <c r="C56" s="5" t="s">
        <v>15</v>
      </c>
      <c r="D56" s="5" t="s">
        <v>16</v>
      </c>
      <c r="E56" s="5" t="s">
        <v>20</v>
      </c>
      <c r="F56" s="5" t="s">
        <v>212</v>
      </c>
      <c r="G56" s="5" t="s">
        <v>17</v>
      </c>
      <c r="H56" s="6">
        <v>22.332937640839301</v>
      </c>
      <c r="I56" s="28">
        <f>AVERAGE(H56:H58)</f>
        <v>22.258797794853802</v>
      </c>
      <c r="J56" s="28">
        <f>_xlfn.STDEV.S(H56:H58)</f>
        <v>7.4740071452386314E-2</v>
      </c>
      <c r="N56" s="8">
        <v>0</v>
      </c>
      <c r="O56" s="9">
        <v>60</v>
      </c>
      <c r="P56" s="5" t="s">
        <v>16</v>
      </c>
      <c r="Q56" s="19"/>
      <c r="R56" s="17"/>
      <c r="U56" s="19"/>
      <c r="V56" s="17"/>
      <c r="Y56" s="19"/>
      <c r="Z56" s="17"/>
      <c r="AC56" s="19"/>
    </row>
    <row r="57" spans="2:29" ht="15" customHeight="1" x14ac:dyDescent="0.2">
      <c r="B57" s="5" t="s">
        <v>35</v>
      </c>
      <c r="C57" s="5" t="s">
        <v>15</v>
      </c>
      <c r="D57" s="5" t="s">
        <v>16</v>
      </c>
      <c r="E57" s="5" t="s">
        <v>20</v>
      </c>
      <c r="F57" s="5" t="s">
        <v>212</v>
      </c>
      <c r="G57" s="5" t="s">
        <v>18</v>
      </c>
      <c r="H57" s="6">
        <v>22.259984122443701</v>
      </c>
      <c r="I57" s="28"/>
      <c r="J57" s="28"/>
      <c r="N57" s="8">
        <v>0</v>
      </c>
      <c r="O57" s="9">
        <v>60</v>
      </c>
      <c r="P57" s="5" t="s">
        <v>16</v>
      </c>
      <c r="Q57" s="19"/>
      <c r="R57" s="17"/>
      <c r="U57" s="19"/>
      <c r="V57" s="17"/>
      <c r="Y57" s="19"/>
      <c r="Z57" s="17"/>
      <c r="AC57" s="19"/>
    </row>
    <row r="58" spans="2:29" ht="15" customHeight="1" x14ac:dyDescent="0.2">
      <c r="B58" s="5" t="s">
        <v>36</v>
      </c>
      <c r="C58" s="5" t="s">
        <v>15</v>
      </c>
      <c r="D58" s="5" t="s">
        <v>16</v>
      </c>
      <c r="E58" s="5" t="s">
        <v>20</v>
      </c>
      <c r="F58" s="5" t="s">
        <v>212</v>
      </c>
      <c r="G58" s="5" t="s">
        <v>19</v>
      </c>
      <c r="H58" s="6">
        <v>22.1834716212784</v>
      </c>
      <c r="I58" s="28"/>
      <c r="J58" s="28"/>
      <c r="N58" s="8">
        <v>0</v>
      </c>
      <c r="O58" s="9">
        <v>60</v>
      </c>
      <c r="P58" s="5" t="s">
        <v>16</v>
      </c>
      <c r="Q58" s="19"/>
      <c r="R58" s="17"/>
      <c r="U58" s="19"/>
      <c r="V58" s="17"/>
      <c r="Y58" s="19"/>
      <c r="Z58" s="17"/>
      <c r="AC58" s="19"/>
    </row>
    <row r="59" spans="2:29" x14ac:dyDescent="0.2">
      <c r="H59" s="28"/>
      <c r="I59" s="28"/>
      <c r="J59" s="28"/>
      <c r="Q59" s="19"/>
      <c r="R59" s="17"/>
      <c r="U59" s="19"/>
      <c r="V59" s="17"/>
      <c r="Y59" s="19"/>
      <c r="Z59" s="17"/>
      <c r="AC59" s="19"/>
    </row>
    <row r="60" spans="2:29" ht="15" customHeight="1" x14ac:dyDescent="0.2">
      <c r="B60" s="5" t="s">
        <v>37</v>
      </c>
      <c r="C60" s="5" t="s">
        <v>15</v>
      </c>
      <c r="D60" s="5" t="s">
        <v>16</v>
      </c>
      <c r="E60" s="5" t="s">
        <v>20</v>
      </c>
      <c r="F60" s="5" t="s">
        <v>213</v>
      </c>
      <c r="G60" s="5" t="s">
        <v>17</v>
      </c>
      <c r="H60" s="6">
        <v>23.199353330211299</v>
      </c>
      <c r="I60" s="28">
        <f>AVERAGE(H60:H62)</f>
        <v>23.172773479188464</v>
      </c>
      <c r="J60" s="28">
        <f>_xlfn.STDEV.S(H60:H62)</f>
        <v>5.0677837479462126E-2</v>
      </c>
      <c r="N60" s="8">
        <v>0</v>
      </c>
      <c r="O60" s="9">
        <v>60</v>
      </c>
      <c r="P60" s="5" t="s">
        <v>16</v>
      </c>
      <c r="Q60" s="19"/>
      <c r="R60" s="17"/>
      <c r="U60" s="19"/>
      <c r="V60" s="17"/>
      <c r="Y60" s="19"/>
      <c r="Z60" s="17"/>
      <c r="AC60" s="19"/>
    </row>
    <row r="61" spans="2:29" ht="15" customHeight="1" x14ac:dyDescent="0.2">
      <c r="B61" s="5" t="s">
        <v>39</v>
      </c>
      <c r="C61" s="5" t="s">
        <v>15</v>
      </c>
      <c r="D61" s="5" t="s">
        <v>16</v>
      </c>
      <c r="E61" s="5" t="s">
        <v>20</v>
      </c>
      <c r="F61" s="5" t="s">
        <v>213</v>
      </c>
      <c r="G61" s="5" t="s">
        <v>18</v>
      </c>
      <c r="H61" s="6">
        <v>23.114335166648299</v>
      </c>
      <c r="I61" s="28"/>
      <c r="J61" s="28"/>
      <c r="N61" s="8">
        <v>0</v>
      </c>
      <c r="O61" s="9">
        <v>60</v>
      </c>
      <c r="P61" s="5" t="s">
        <v>16</v>
      </c>
      <c r="Q61" s="19"/>
      <c r="R61" s="17"/>
      <c r="U61" s="19"/>
      <c r="V61" s="17"/>
      <c r="Y61" s="19"/>
      <c r="Z61" s="17"/>
      <c r="AC61" s="19"/>
    </row>
    <row r="62" spans="2:29" ht="15" customHeight="1" x14ac:dyDescent="0.2">
      <c r="B62" s="5" t="s">
        <v>40</v>
      </c>
      <c r="C62" s="5" t="s">
        <v>15</v>
      </c>
      <c r="D62" s="5" t="s">
        <v>16</v>
      </c>
      <c r="E62" s="5" t="s">
        <v>20</v>
      </c>
      <c r="F62" s="5" t="s">
        <v>213</v>
      </c>
      <c r="G62" s="5" t="s">
        <v>19</v>
      </c>
      <c r="H62" s="6">
        <v>23.204631940705799</v>
      </c>
      <c r="I62" s="28"/>
      <c r="J62" s="28"/>
      <c r="N62" s="8">
        <v>0</v>
      </c>
      <c r="O62" s="9">
        <v>60</v>
      </c>
      <c r="P62" s="5" t="s">
        <v>16</v>
      </c>
      <c r="Q62" s="19"/>
      <c r="R62" s="17"/>
      <c r="U62" s="19"/>
      <c r="V62" s="17"/>
      <c r="Y62" s="19"/>
      <c r="Z62" s="17"/>
      <c r="AC62" s="19"/>
    </row>
    <row r="63" spans="2:29" x14ac:dyDescent="0.2">
      <c r="H63" s="28"/>
      <c r="I63" s="28"/>
      <c r="J63" s="28"/>
      <c r="Q63" s="19"/>
      <c r="R63" s="17"/>
      <c r="U63" s="19"/>
      <c r="V63" s="17"/>
      <c r="Y63" s="19"/>
      <c r="Z63" s="17"/>
      <c r="AC63" s="19"/>
    </row>
    <row r="64" spans="2:29" ht="15" customHeight="1" x14ac:dyDescent="0.2">
      <c r="B64" s="5" t="s">
        <v>41</v>
      </c>
      <c r="C64" s="5" t="s">
        <v>15</v>
      </c>
      <c r="D64" s="5" t="s">
        <v>16</v>
      </c>
      <c r="E64" s="5" t="s">
        <v>20</v>
      </c>
      <c r="F64" s="5" t="s">
        <v>214</v>
      </c>
      <c r="G64" s="5" t="s">
        <v>17</v>
      </c>
      <c r="H64" s="6">
        <v>21.921405757193298</v>
      </c>
      <c r="I64" s="28">
        <f>AVERAGE(H64:H66)</f>
        <v>21.724368469549201</v>
      </c>
      <c r="J64" s="28">
        <f>_xlfn.STDEV.S(H64:H66)</f>
        <v>0.19485392705686885</v>
      </c>
      <c r="N64" s="8">
        <v>0</v>
      </c>
      <c r="O64" s="9">
        <v>60</v>
      </c>
      <c r="P64" s="5" t="s">
        <v>16</v>
      </c>
      <c r="Q64" s="19"/>
      <c r="R64" s="17"/>
      <c r="U64" s="19"/>
      <c r="V64" s="17"/>
      <c r="Y64" s="19"/>
      <c r="Z64" s="17"/>
      <c r="AC64" s="19"/>
    </row>
    <row r="65" spans="2:29" ht="15" customHeight="1" x14ac:dyDescent="0.2">
      <c r="B65" s="5" t="s">
        <v>43</v>
      </c>
      <c r="C65" s="5" t="s">
        <v>15</v>
      </c>
      <c r="D65" s="5" t="s">
        <v>16</v>
      </c>
      <c r="E65" s="5" t="s">
        <v>20</v>
      </c>
      <c r="F65" s="5" t="s">
        <v>214</v>
      </c>
      <c r="G65" s="5" t="s">
        <v>18</v>
      </c>
      <c r="H65" s="6">
        <v>21.719925770303199</v>
      </c>
      <c r="I65" s="28"/>
      <c r="J65" s="28"/>
      <c r="N65" s="8">
        <v>0</v>
      </c>
      <c r="O65" s="9">
        <v>60</v>
      </c>
      <c r="P65" s="5" t="s">
        <v>16</v>
      </c>
      <c r="Q65" s="19"/>
      <c r="R65" s="17"/>
      <c r="U65" s="19"/>
      <c r="V65" s="17"/>
      <c r="Y65" s="19"/>
      <c r="Z65" s="17"/>
      <c r="AC65" s="19"/>
    </row>
    <row r="66" spans="2:29" ht="15" customHeight="1" x14ac:dyDescent="0.2">
      <c r="B66" s="5" t="s">
        <v>44</v>
      </c>
      <c r="C66" s="5" t="s">
        <v>15</v>
      </c>
      <c r="D66" s="5" t="s">
        <v>16</v>
      </c>
      <c r="E66" s="5" t="s">
        <v>20</v>
      </c>
      <c r="F66" s="5" t="s">
        <v>214</v>
      </c>
      <c r="G66" s="5" t="s">
        <v>19</v>
      </c>
      <c r="H66" s="6">
        <v>21.5317738811511</v>
      </c>
      <c r="I66" s="28"/>
      <c r="J66" s="28"/>
      <c r="N66" s="8">
        <v>0</v>
      </c>
      <c r="O66" s="9">
        <v>60</v>
      </c>
      <c r="P66" s="5" t="s">
        <v>16</v>
      </c>
      <c r="Q66" s="19"/>
      <c r="R66" s="17"/>
      <c r="U66" s="19"/>
      <c r="V66" s="17"/>
      <c r="Y66" s="19"/>
      <c r="Z66" s="17"/>
      <c r="AC66" s="19"/>
    </row>
    <row r="67" spans="2:29" ht="15" customHeight="1" x14ac:dyDescent="0.2">
      <c r="B67" s="11"/>
      <c r="C67" s="11"/>
      <c r="D67" s="11"/>
      <c r="E67" s="11"/>
      <c r="F67" s="11"/>
      <c r="G67" s="11"/>
      <c r="H67" s="29"/>
      <c r="I67" s="29"/>
      <c r="J67" s="29"/>
      <c r="K67" s="13"/>
      <c r="L67" s="12"/>
      <c r="M67" s="13"/>
      <c r="N67" s="13">
        <v>0</v>
      </c>
      <c r="O67" s="14">
        <v>60</v>
      </c>
      <c r="P67" s="11" t="s">
        <v>16</v>
      </c>
      <c r="Q67" s="20"/>
      <c r="R67" s="16"/>
      <c r="U67" s="20"/>
      <c r="V67" s="16"/>
      <c r="Y67" s="20"/>
      <c r="Z67" s="16"/>
      <c r="AC67" s="20"/>
    </row>
    <row r="68" spans="2:29" ht="15" customHeight="1" x14ac:dyDescent="0.2">
      <c r="B68" s="21"/>
      <c r="C68" s="21"/>
      <c r="D68" s="21"/>
      <c r="E68" s="21"/>
      <c r="F68" s="21"/>
      <c r="G68" s="21"/>
      <c r="H68" s="30"/>
      <c r="I68" s="30"/>
      <c r="J68" s="30"/>
      <c r="K68" s="21"/>
      <c r="L68" s="21"/>
      <c r="M68" s="21"/>
      <c r="N68" s="21">
        <v>0</v>
      </c>
      <c r="O68" s="21">
        <v>60</v>
      </c>
      <c r="P68" s="21" t="s">
        <v>16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2:29" ht="15" customHeight="1" x14ac:dyDescent="0.2">
      <c r="B69" s="10"/>
      <c r="C69" s="10"/>
      <c r="D69" s="10"/>
      <c r="E69" s="10"/>
      <c r="F69" s="10"/>
      <c r="G69" s="10"/>
      <c r="H69" s="28"/>
      <c r="I69" s="28"/>
      <c r="J69" s="28"/>
      <c r="K69" s="10"/>
      <c r="L69" s="10"/>
      <c r="M69" s="10"/>
      <c r="N69" s="10"/>
      <c r="O69" s="10"/>
      <c r="P69" s="10"/>
      <c r="Q69" s="19"/>
      <c r="R69" s="17"/>
      <c r="U69" s="19"/>
      <c r="V69" s="17"/>
      <c r="Y69" s="19"/>
      <c r="Z69" s="17"/>
      <c r="AC69" s="19"/>
    </row>
    <row r="70" spans="2:29" ht="15" customHeight="1" x14ac:dyDescent="0.2">
      <c r="B70" s="5" t="s">
        <v>45</v>
      </c>
      <c r="C70" s="5" t="s">
        <v>15</v>
      </c>
      <c r="D70" s="5" t="s">
        <v>16</v>
      </c>
      <c r="E70" s="5" t="s">
        <v>20</v>
      </c>
      <c r="F70" s="5" t="s">
        <v>215</v>
      </c>
      <c r="G70" s="5" t="s">
        <v>17</v>
      </c>
      <c r="H70" s="6">
        <v>20.611950709828999</v>
      </c>
      <c r="I70" s="28">
        <f>AVERAGE(H70:H72)</f>
        <v>20.638550628772933</v>
      </c>
      <c r="J70" s="28">
        <f>_xlfn.STDEV.S(H70:H72)</f>
        <v>2.5682076498337581E-2</v>
      </c>
      <c r="N70" s="8">
        <v>0</v>
      </c>
      <c r="O70" s="9">
        <v>60</v>
      </c>
      <c r="P70" s="5" t="s">
        <v>16</v>
      </c>
      <c r="Q70" s="19"/>
      <c r="R70" s="17"/>
      <c r="U70" s="19"/>
      <c r="V70" s="17"/>
      <c r="Y70" s="19"/>
      <c r="Z70" s="17"/>
      <c r="AC70" s="19"/>
    </row>
    <row r="71" spans="2:29" x14ac:dyDescent="0.2">
      <c r="B71" s="5" t="s">
        <v>47</v>
      </c>
      <c r="C71" s="5" t="s">
        <v>15</v>
      </c>
      <c r="D71" s="5" t="s">
        <v>16</v>
      </c>
      <c r="E71" s="5" t="s">
        <v>20</v>
      </c>
      <c r="F71" s="5" t="s">
        <v>215</v>
      </c>
      <c r="G71" s="5" t="s">
        <v>18</v>
      </c>
      <c r="H71" s="6">
        <v>20.663204102564201</v>
      </c>
      <c r="I71" s="28"/>
      <c r="J71" s="28"/>
      <c r="Q71" s="19"/>
      <c r="R71" s="17"/>
      <c r="U71" s="19"/>
      <c r="V71" s="17"/>
      <c r="Y71" s="19"/>
      <c r="Z71" s="17"/>
      <c r="AC71" s="19"/>
    </row>
    <row r="72" spans="2:29" ht="15" customHeight="1" x14ac:dyDescent="0.2">
      <c r="B72" s="5" t="s">
        <v>48</v>
      </c>
      <c r="C72" s="5" t="s">
        <v>15</v>
      </c>
      <c r="D72" s="5" t="s">
        <v>16</v>
      </c>
      <c r="E72" s="5" t="s">
        <v>20</v>
      </c>
      <c r="F72" s="5" t="s">
        <v>215</v>
      </c>
      <c r="G72" s="5" t="s">
        <v>19</v>
      </c>
      <c r="H72" s="6">
        <v>20.640497073925602</v>
      </c>
      <c r="I72" s="28"/>
      <c r="J72" s="28"/>
      <c r="Q72" s="19"/>
      <c r="R72" s="17"/>
      <c r="U72" s="19"/>
      <c r="V72" s="17"/>
      <c r="Y72" s="19"/>
      <c r="Z72" s="17"/>
      <c r="AC72" s="19"/>
    </row>
    <row r="73" spans="2:29" ht="15" customHeight="1" x14ac:dyDescent="0.2">
      <c r="H73" s="28"/>
      <c r="I73" s="28"/>
      <c r="J73" s="28"/>
      <c r="N73" s="8">
        <v>0</v>
      </c>
      <c r="O73" s="9">
        <v>60</v>
      </c>
      <c r="P73" s="5" t="s">
        <v>16</v>
      </c>
      <c r="Q73" s="19"/>
      <c r="R73" s="17"/>
      <c r="U73" s="19"/>
      <c r="V73" s="17"/>
      <c r="Y73" s="19"/>
      <c r="Z73" s="17"/>
      <c r="AC73" s="19"/>
    </row>
    <row r="74" spans="2:29" ht="15" customHeight="1" x14ac:dyDescent="0.2">
      <c r="B74" s="5" t="s">
        <v>49</v>
      </c>
      <c r="C74" s="5" t="s">
        <v>15</v>
      </c>
      <c r="D74" s="5" t="s">
        <v>16</v>
      </c>
      <c r="E74" s="5" t="s">
        <v>20</v>
      </c>
      <c r="F74" s="5" t="s">
        <v>216</v>
      </c>
      <c r="G74" s="5" t="s">
        <v>17</v>
      </c>
      <c r="H74" s="6">
        <v>23.070774777716601</v>
      </c>
      <c r="I74" s="28">
        <f>AVERAGE(H74:H76)</f>
        <v>23.003046670957065</v>
      </c>
      <c r="J74" s="28">
        <f>_xlfn.STDEV.S(H74:H76)</f>
        <v>7.5898223172619489E-2</v>
      </c>
      <c r="N74" s="8">
        <v>0</v>
      </c>
      <c r="O74" s="9">
        <v>60</v>
      </c>
      <c r="P74" s="5" t="s">
        <v>16</v>
      </c>
      <c r="Q74" s="19"/>
      <c r="R74" s="17"/>
      <c r="U74" s="19"/>
      <c r="V74" s="17"/>
      <c r="Y74" s="19"/>
      <c r="Z74" s="17"/>
      <c r="AC74" s="19"/>
    </row>
    <row r="75" spans="2:29" x14ac:dyDescent="0.2">
      <c r="B75" s="5" t="s">
        <v>51</v>
      </c>
      <c r="C75" s="5" t="s">
        <v>15</v>
      </c>
      <c r="D75" s="5" t="s">
        <v>16</v>
      </c>
      <c r="E75" s="5" t="s">
        <v>20</v>
      </c>
      <c r="F75" s="5" t="s">
        <v>216</v>
      </c>
      <c r="G75" s="5" t="s">
        <v>18</v>
      </c>
      <c r="H75" s="6">
        <v>22.921013976877799</v>
      </c>
      <c r="I75" s="28"/>
      <c r="J75" s="28"/>
      <c r="N75" s="8">
        <v>0</v>
      </c>
      <c r="O75" s="9">
        <v>60</v>
      </c>
      <c r="P75" s="5" t="s">
        <v>16</v>
      </c>
      <c r="Q75" s="19"/>
      <c r="R75" s="17"/>
      <c r="U75" s="19"/>
      <c r="V75" s="17"/>
      <c r="Y75" s="19"/>
      <c r="Z75" s="17"/>
      <c r="AC75" s="19"/>
    </row>
    <row r="76" spans="2:29" x14ac:dyDescent="0.2">
      <c r="B76" s="5" t="s">
        <v>52</v>
      </c>
      <c r="C76" s="5" t="s">
        <v>15</v>
      </c>
      <c r="D76" s="5" t="s">
        <v>16</v>
      </c>
      <c r="E76" s="5" t="s">
        <v>20</v>
      </c>
      <c r="F76" s="5" t="s">
        <v>216</v>
      </c>
      <c r="G76" s="5" t="s">
        <v>19</v>
      </c>
      <c r="H76" s="6">
        <v>23.017351258276801</v>
      </c>
      <c r="I76" s="28"/>
      <c r="J76" s="28"/>
      <c r="N76" s="8">
        <v>0</v>
      </c>
      <c r="O76" s="9">
        <v>60</v>
      </c>
      <c r="P76" s="5" t="s">
        <v>16</v>
      </c>
      <c r="Q76" s="19"/>
      <c r="R76" s="17"/>
      <c r="U76" s="19"/>
      <c r="V76" s="17"/>
      <c r="Y76" s="19"/>
      <c r="Z76" s="17"/>
      <c r="AC76" s="19"/>
    </row>
    <row r="77" spans="2:29" x14ac:dyDescent="0.2">
      <c r="H77" s="28"/>
      <c r="I77" s="28"/>
      <c r="J77" s="28"/>
      <c r="N77" s="8">
        <v>0</v>
      </c>
      <c r="O77" s="9">
        <v>60</v>
      </c>
      <c r="P77" s="5" t="s">
        <v>16</v>
      </c>
      <c r="Q77" s="19"/>
      <c r="R77" s="17"/>
      <c r="U77" s="19"/>
      <c r="V77" s="17"/>
      <c r="Y77" s="19"/>
      <c r="Z77" s="17"/>
      <c r="AC77" s="19"/>
    </row>
    <row r="78" spans="2:29" x14ac:dyDescent="0.2">
      <c r="B78" s="5" t="s">
        <v>301</v>
      </c>
      <c r="C78" s="5" t="s">
        <v>15</v>
      </c>
      <c r="D78" s="5" t="s">
        <v>16</v>
      </c>
      <c r="E78" s="5" t="s">
        <v>20</v>
      </c>
      <c r="F78" s="5" t="s">
        <v>217</v>
      </c>
      <c r="G78" s="5" t="s">
        <v>17</v>
      </c>
      <c r="H78" s="6">
        <v>22.5790794363039</v>
      </c>
      <c r="I78" s="28">
        <f>AVERAGE(H78:H80)</f>
        <v>22.584854681379799</v>
      </c>
      <c r="J78" s="28">
        <f>_xlfn.STDEV.S(H78:H80)</f>
        <v>3.9114042933833519E-2</v>
      </c>
      <c r="N78" s="8">
        <v>0</v>
      </c>
      <c r="O78" s="9">
        <v>60</v>
      </c>
      <c r="P78" s="5" t="s">
        <v>16</v>
      </c>
      <c r="Q78" s="19"/>
      <c r="R78" s="17"/>
      <c r="U78" s="19"/>
      <c r="V78" s="17"/>
      <c r="Y78" s="19"/>
      <c r="Z78" s="17"/>
      <c r="AC78" s="19"/>
    </row>
    <row r="79" spans="2:29" x14ac:dyDescent="0.2">
      <c r="B79" s="5" t="s">
        <v>302</v>
      </c>
      <c r="C79" s="5" t="s">
        <v>15</v>
      </c>
      <c r="D79" s="5" t="s">
        <v>16</v>
      </c>
      <c r="E79" s="5" t="s">
        <v>20</v>
      </c>
      <c r="F79" s="5" t="s">
        <v>217</v>
      </c>
      <c r="G79" s="5" t="s">
        <v>18</v>
      </c>
      <c r="H79" s="6">
        <v>22.5489493501392</v>
      </c>
      <c r="I79" s="28"/>
      <c r="J79" s="28"/>
      <c r="N79" s="8">
        <v>0</v>
      </c>
      <c r="O79" s="9">
        <v>60</v>
      </c>
      <c r="P79" s="5" t="s">
        <v>16</v>
      </c>
      <c r="Q79" s="19"/>
      <c r="R79" s="17"/>
      <c r="U79" s="19"/>
      <c r="V79" s="17"/>
      <c r="Y79" s="19"/>
      <c r="Z79" s="17"/>
      <c r="AC79" s="19"/>
    </row>
    <row r="80" spans="2:29" x14ac:dyDescent="0.2">
      <c r="B80" s="5" t="s">
        <v>303</v>
      </c>
      <c r="C80" s="5" t="s">
        <v>15</v>
      </c>
      <c r="D80" s="5" t="s">
        <v>16</v>
      </c>
      <c r="E80" s="5" t="s">
        <v>20</v>
      </c>
      <c r="F80" s="5" t="s">
        <v>217</v>
      </c>
      <c r="G80" s="5" t="s">
        <v>19</v>
      </c>
      <c r="H80" s="6">
        <v>22.6265352576963</v>
      </c>
      <c r="I80" s="28"/>
      <c r="J80" s="28"/>
      <c r="N80" s="8">
        <v>0</v>
      </c>
      <c r="O80" s="9">
        <v>60</v>
      </c>
      <c r="P80" s="5" t="s">
        <v>16</v>
      </c>
      <c r="Q80" s="19"/>
      <c r="R80" s="17"/>
      <c r="U80" s="19"/>
      <c r="V80" s="17"/>
      <c r="Y80" s="19"/>
      <c r="Z80" s="17"/>
      <c r="AC80" s="19"/>
    </row>
    <row r="81" spans="2:29" x14ac:dyDescent="0.2">
      <c r="B81" s="10"/>
      <c r="C81" s="10"/>
      <c r="D81" s="10"/>
      <c r="E81" s="10"/>
      <c r="F81" s="10"/>
      <c r="H81" s="28"/>
      <c r="I81" s="28"/>
      <c r="J81" s="28"/>
      <c r="N81" s="8">
        <v>0</v>
      </c>
      <c r="O81" s="9">
        <v>60</v>
      </c>
      <c r="P81" s="5" t="s">
        <v>16</v>
      </c>
      <c r="Q81" s="19"/>
      <c r="R81" s="17"/>
      <c r="U81" s="19"/>
      <c r="V81" s="17"/>
      <c r="Y81" s="19"/>
      <c r="Z81" s="17"/>
      <c r="AC81" s="19"/>
    </row>
    <row r="82" spans="2:29" x14ac:dyDescent="0.2">
      <c r="B82" s="5" t="s">
        <v>304</v>
      </c>
      <c r="C82" s="5" t="s">
        <v>15</v>
      </c>
      <c r="D82" s="5" t="s">
        <v>16</v>
      </c>
      <c r="E82" s="5" t="s">
        <v>20</v>
      </c>
      <c r="F82" s="5" t="s">
        <v>218</v>
      </c>
      <c r="G82" s="5" t="s">
        <v>17</v>
      </c>
      <c r="H82" s="6">
        <v>21.8027790897995</v>
      </c>
      <c r="I82" s="28">
        <f>AVERAGE(H82:H84)</f>
        <v>21.807817202204102</v>
      </c>
      <c r="J82" s="28">
        <f>_xlfn.STDEV.S(H82:H84)</f>
        <v>7.9762863598946424E-2</v>
      </c>
      <c r="N82" s="8">
        <v>0</v>
      </c>
      <c r="O82" s="9">
        <v>60</v>
      </c>
      <c r="P82" s="5" t="s">
        <v>16</v>
      </c>
      <c r="Q82" s="19"/>
      <c r="R82" s="17"/>
      <c r="U82" s="19"/>
      <c r="V82" s="17"/>
      <c r="Y82" s="19"/>
      <c r="Z82" s="17"/>
      <c r="AC82" s="19"/>
    </row>
    <row r="83" spans="2:29" x14ac:dyDescent="0.2">
      <c r="B83" s="5" t="s">
        <v>305</v>
      </c>
      <c r="C83" s="5" t="s">
        <v>15</v>
      </c>
      <c r="D83" s="5" t="s">
        <v>16</v>
      </c>
      <c r="E83" s="5" t="s">
        <v>20</v>
      </c>
      <c r="F83" s="5" t="s">
        <v>218</v>
      </c>
      <c r="G83" s="5" t="s">
        <v>18</v>
      </c>
      <c r="H83" s="6">
        <v>21.889979698042399</v>
      </c>
      <c r="I83" s="28"/>
      <c r="J83" s="28"/>
      <c r="N83" s="8">
        <v>0</v>
      </c>
      <c r="O83" s="9">
        <v>60</v>
      </c>
      <c r="P83" s="5" t="s">
        <v>16</v>
      </c>
      <c r="Q83" s="19"/>
      <c r="R83" s="17"/>
      <c r="U83" s="19"/>
      <c r="V83" s="17"/>
      <c r="Y83" s="19"/>
      <c r="Z83" s="17"/>
      <c r="AC83" s="19"/>
    </row>
    <row r="84" spans="2:29" x14ac:dyDescent="0.2">
      <c r="B84" s="5" t="s">
        <v>306</v>
      </c>
      <c r="C84" s="5" t="s">
        <v>15</v>
      </c>
      <c r="D84" s="5" t="s">
        <v>16</v>
      </c>
      <c r="E84" s="5" t="s">
        <v>20</v>
      </c>
      <c r="F84" s="5" t="s">
        <v>218</v>
      </c>
      <c r="G84" s="5" t="s">
        <v>19</v>
      </c>
      <c r="H84" s="6">
        <v>21.7306928187704</v>
      </c>
      <c r="I84" s="28"/>
      <c r="J84" s="28"/>
      <c r="N84" s="8">
        <v>0</v>
      </c>
      <c r="O84" s="9">
        <v>60</v>
      </c>
      <c r="P84" s="5" t="s">
        <v>16</v>
      </c>
      <c r="Q84" s="19"/>
      <c r="R84" s="17"/>
      <c r="U84" s="19"/>
      <c r="V84" s="17"/>
      <c r="Y84" s="19"/>
      <c r="Z84" s="17"/>
      <c r="AC84" s="19"/>
    </row>
    <row r="85" spans="2:29" x14ac:dyDescent="0.2">
      <c r="B85" s="10"/>
      <c r="C85" s="10"/>
      <c r="D85" s="10"/>
      <c r="E85" s="10"/>
      <c r="F85" s="10"/>
      <c r="H85" s="28"/>
      <c r="I85" s="28"/>
      <c r="J85" s="28"/>
      <c r="N85" s="8">
        <v>0</v>
      </c>
      <c r="O85" s="9">
        <v>60</v>
      </c>
      <c r="P85" s="5" t="s">
        <v>16</v>
      </c>
      <c r="Q85" s="19"/>
      <c r="R85" s="17"/>
      <c r="U85" s="19"/>
      <c r="V85" s="17"/>
      <c r="Y85" s="19"/>
      <c r="Z85" s="17"/>
      <c r="AC85" s="19"/>
    </row>
    <row r="86" spans="2:29" x14ac:dyDescent="0.2">
      <c r="B86" s="5" t="s">
        <v>307</v>
      </c>
      <c r="C86" s="5" t="s">
        <v>15</v>
      </c>
      <c r="D86" s="5" t="s">
        <v>16</v>
      </c>
      <c r="E86" s="5" t="s">
        <v>20</v>
      </c>
      <c r="F86" s="5" t="s">
        <v>219</v>
      </c>
      <c r="G86" s="5" t="s">
        <v>17</v>
      </c>
      <c r="H86" s="6">
        <v>22.195617255133499</v>
      </c>
      <c r="I86" s="28">
        <f>AVERAGE(H86:H88)</f>
        <v>22.179970015422736</v>
      </c>
      <c r="J86" s="28">
        <f>_xlfn.STDEV.S(H86:H88)</f>
        <v>2.1557542579778554E-2</v>
      </c>
      <c r="N86" s="8">
        <v>0</v>
      </c>
      <c r="O86" s="9">
        <v>60</v>
      </c>
      <c r="P86" s="5" t="s">
        <v>16</v>
      </c>
      <c r="Q86" s="19"/>
      <c r="R86" s="17"/>
      <c r="U86" s="19"/>
      <c r="V86" s="17"/>
      <c r="Y86" s="19"/>
      <c r="Z86" s="17"/>
      <c r="AC86" s="19"/>
    </row>
    <row r="87" spans="2:29" x14ac:dyDescent="0.2">
      <c r="B87" s="5" t="s">
        <v>308</v>
      </c>
      <c r="C87" s="5" t="s">
        <v>15</v>
      </c>
      <c r="D87" s="5" t="s">
        <v>16</v>
      </c>
      <c r="E87" s="5" t="s">
        <v>20</v>
      </c>
      <c r="F87" s="5" t="s">
        <v>219</v>
      </c>
      <c r="G87" s="5" t="s">
        <v>18</v>
      </c>
      <c r="H87" s="6">
        <v>22.188912449341402</v>
      </c>
      <c r="I87" s="28"/>
      <c r="J87" s="28"/>
      <c r="N87" s="8">
        <v>0</v>
      </c>
      <c r="O87" s="9">
        <v>60</v>
      </c>
      <c r="P87" s="5" t="s">
        <v>16</v>
      </c>
      <c r="Q87" s="19"/>
      <c r="R87" s="17"/>
      <c r="U87" s="19"/>
      <c r="V87" s="17"/>
      <c r="Y87" s="19"/>
      <c r="Z87" s="17"/>
      <c r="AC87" s="19"/>
    </row>
    <row r="88" spans="2:29" x14ac:dyDescent="0.2">
      <c r="B88" s="5" t="s">
        <v>309</v>
      </c>
      <c r="C88" s="5" t="s">
        <v>15</v>
      </c>
      <c r="D88" s="5" t="s">
        <v>16</v>
      </c>
      <c r="E88" s="5" t="s">
        <v>20</v>
      </c>
      <c r="F88" s="5" t="s">
        <v>219</v>
      </c>
      <c r="G88" s="5" t="s">
        <v>19</v>
      </c>
      <c r="H88" s="6">
        <v>22.1553803417933</v>
      </c>
      <c r="I88" s="28"/>
      <c r="J88" s="28"/>
      <c r="N88" s="8">
        <v>0</v>
      </c>
      <c r="O88" s="9">
        <v>60</v>
      </c>
      <c r="P88" s="5" t="s">
        <v>16</v>
      </c>
      <c r="Q88" s="19"/>
      <c r="R88" s="17"/>
      <c r="U88" s="19"/>
      <c r="V88" s="17"/>
      <c r="Y88" s="19"/>
      <c r="Z88" s="17"/>
      <c r="AC88" s="19"/>
    </row>
    <row r="89" spans="2:29" x14ac:dyDescent="0.2">
      <c r="H89" s="28"/>
      <c r="I89" s="28"/>
      <c r="J89" s="28"/>
      <c r="Q89" s="19"/>
      <c r="R89" s="17"/>
      <c r="U89" s="19"/>
      <c r="V89" s="17"/>
      <c r="Y89" s="19"/>
      <c r="Z89" s="17"/>
      <c r="AC89" s="19"/>
    </row>
    <row r="90" spans="2:29" x14ac:dyDescent="0.2">
      <c r="B90" s="5" t="s">
        <v>310</v>
      </c>
      <c r="C90" s="5" t="s">
        <v>15</v>
      </c>
      <c r="D90" s="5" t="s">
        <v>16</v>
      </c>
      <c r="E90" s="5" t="s">
        <v>20</v>
      </c>
      <c r="F90" s="5" t="s">
        <v>220</v>
      </c>
      <c r="G90" s="5" t="s">
        <v>17</v>
      </c>
      <c r="H90" s="6">
        <v>20.7635688072472</v>
      </c>
      <c r="I90" s="28">
        <f>AVERAGE(H90:H92)</f>
        <v>20.745689670674867</v>
      </c>
      <c r="J90" s="28">
        <f>_xlfn.STDEV.S(H90:H92)</f>
        <v>2.3958460260655436E-2</v>
      </c>
      <c r="N90" s="8">
        <v>0</v>
      </c>
      <c r="O90" s="9">
        <v>60</v>
      </c>
      <c r="P90" s="5" t="s">
        <v>16</v>
      </c>
      <c r="Q90" s="19"/>
      <c r="R90" s="17"/>
      <c r="U90" s="19"/>
      <c r="V90" s="17"/>
      <c r="Y90" s="19"/>
      <c r="Z90" s="17"/>
      <c r="AC90" s="19"/>
    </row>
    <row r="91" spans="2:29" x14ac:dyDescent="0.2">
      <c r="B91" s="5" t="s">
        <v>311</v>
      </c>
      <c r="C91" s="5" t="s">
        <v>15</v>
      </c>
      <c r="D91" s="5" t="s">
        <v>16</v>
      </c>
      <c r="E91" s="5" t="s">
        <v>20</v>
      </c>
      <c r="F91" s="5" t="s">
        <v>220</v>
      </c>
      <c r="G91" s="5" t="s">
        <v>18</v>
      </c>
      <c r="H91" s="6">
        <v>20.718467318830601</v>
      </c>
      <c r="I91" s="28"/>
      <c r="J91" s="28"/>
      <c r="N91" s="8">
        <v>0</v>
      </c>
      <c r="O91" s="9">
        <v>60</v>
      </c>
      <c r="P91" s="5" t="s">
        <v>16</v>
      </c>
      <c r="Q91" s="19"/>
      <c r="R91" s="17"/>
      <c r="U91" s="19"/>
      <c r="V91" s="17"/>
      <c r="Y91" s="19"/>
      <c r="Z91" s="17"/>
      <c r="AC91" s="19"/>
    </row>
    <row r="92" spans="2:29" x14ac:dyDescent="0.2">
      <c r="B92" s="5" t="s">
        <v>312</v>
      </c>
      <c r="C92" s="5" t="s">
        <v>15</v>
      </c>
      <c r="D92" s="5" t="s">
        <v>16</v>
      </c>
      <c r="E92" s="5" t="s">
        <v>20</v>
      </c>
      <c r="F92" s="5" t="s">
        <v>220</v>
      </c>
      <c r="G92" s="5" t="s">
        <v>19</v>
      </c>
      <c r="H92" s="6">
        <v>20.7550328859468</v>
      </c>
      <c r="I92" s="28"/>
      <c r="J92" s="28"/>
      <c r="N92" s="8">
        <v>0</v>
      </c>
      <c r="O92" s="9">
        <v>60</v>
      </c>
      <c r="P92" s="5" t="s">
        <v>16</v>
      </c>
      <c r="Q92" s="19"/>
      <c r="R92" s="17"/>
      <c r="U92" s="19"/>
      <c r="V92" s="17"/>
      <c r="Y92" s="19"/>
      <c r="Z92" s="17"/>
      <c r="AC92" s="19"/>
    </row>
    <row r="93" spans="2:29" x14ac:dyDescent="0.2">
      <c r="H93" s="28"/>
      <c r="I93" s="28"/>
      <c r="J93" s="28"/>
      <c r="Q93" s="19"/>
      <c r="R93" s="17"/>
      <c r="U93" s="19"/>
      <c r="V93" s="17"/>
      <c r="Y93" s="19"/>
      <c r="Z93" s="17"/>
      <c r="AC93" s="19"/>
    </row>
    <row r="94" spans="2:29" x14ac:dyDescent="0.2">
      <c r="B94" s="5" t="s">
        <v>53</v>
      </c>
      <c r="C94" s="5" t="s">
        <v>15</v>
      </c>
      <c r="D94" s="5" t="s">
        <v>16</v>
      </c>
      <c r="E94" s="5" t="s">
        <v>20</v>
      </c>
      <c r="F94" s="5" t="s">
        <v>221</v>
      </c>
      <c r="G94" s="5" t="s">
        <v>17</v>
      </c>
      <c r="H94" s="6">
        <v>21.850942127042298</v>
      </c>
      <c r="I94" s="28">
        <f>AVERAGE(H94:H96)</f>
        <v>21.827381151590668</v>
      </c>
      <c r="J94" s="28">
        <f>_xlfn.STDEV.S(H94:H96)</f>
        <v>4.0380376809621803E-2</v>
      </c>
      <c r="N94" s="8">
        <v>0</v>
      </c>
      <c r="O94" s="9">
        <v>60</v>
      </c>
      <c r="P94" s="5" t="s">
        <v>16</v>
      </c>
      <c r="Q94" s="19"/>
      <c r="R94" s="17"/>
      <c r="U94" s="19"/>
      <c r="V94" s="17"/>
      <c r="Y94" s="19"/>
      <c r="Z94" s="17"/>
      <c r="AC94" s="19"/>
    </row>
    <row r="95" spans="2:29" x14ac:dyDescent="0.2">
      <c r="B95" s="5" t="s">
        <v>54</v>
      </c>
      <c r="C95" s="5" t="s">
        <v>15</v>
      </c>
      <c r="D95" s="5" t="s">
        <v>16</v>
      </c>
      <c r="E95" s="5" t="s">
        <v>20</v>
      </c>
      <c r="F95" s="5" t="s">
        <v>221</v>
      </c>
      <c r="G95" s="5" t="s">
        <v>18</v>
      </c>
      <c r="H95" s="6">
        <v>21.850446541068798</v>
      </c>
      <c r="I95" s="28"/>
      <c r="J95" s="28"/>
      <c r="N95" s="8">
        <v>0</v>
      </c>
      <c r="O95" s="9">
        <v>60</v>
      </c>
      <c r="P95" s="5" t="s">
        <v>16</v>
      </c>
      <c r="Q95" s="19"/>
      <c r="R95" s="17"/>
      <c r="U95" s="19"/>
      <c r="V95" s="17"/>
      <c r="Y95" s="19"/>
      <c r="Z95" s="17"/>
      <c r="AC95" s="19"/>
    </row>
    <row r="96" spans="2:29" x14ac:dyDescent="0.2">
      <c r="B96" s="5" t="s">
        <v>55</v>
      </c>
      <c r="C96" s="5" t="s">
        <v>15</v>
      </c>
      <c r="D96" s="5" t="s">
        <v>16</v>
      </c>
      <c r="E96" s="5" t="s">
        <v>20</v>
      </c>
      <c r="F96" s="5" t="s">
        <v>221</v>
      </c>
      <c r="G96" s="5" t="s">
        <v>19</v>
      </c>
      <c r="H96" s="6">
        <v>21.7807547866609</v>
      </c>
      <c r="I96" s="28"/>
      <c r="J96" s="28"/>
      <c r="N96" s="8">
        <v>0</v>
      </c>
      <c r="O96" s="9">
        <v>60</v>
      </c>
      <c r="P96" s="5" t="s">
        <v>16</v>
      </c>
      <c r="Q96" s="19"/>
      <c r="R96" s="17"/>
      <c r="U96" s="19"/>
      <c r="V96" s="17"/>
      <c r="Y96" s="19"/>
      <c r="Z96" s="17"/>
      <c r="AC96" s="19"/>
    </row>
    <row r="97" spans="2:29" x14ac:dyDescent="0.2">
      <c r="H97" s="28"/>
      <c r="I97" s="28"/>
      <c r="J97" s="28"/>
      <c r="Q97" s="19"/>
      <c r="R97" s="17"/>
      <c r="U97" s="19"/>
      <c r="V97" s="17"/>
      <c r="Y97" s="19"/>
      <c r="Z97" s="17"/>
      <c r="AC97" s="19"/>
    </row>
    <row r="98" spans="2:29" x14ac:dyDescent="0.2">
      <c r="B98" s="5" t="s">
        <v>56</v>
      </c>
      <c r="C98" s="5" t="s">
        <v>15</v>
      </c>
      <c r="D98" s="5" t="s">
        <v>16</v>
      </c>
      <c r="E98" s="5" t="s">
        <v>20</v>
      </c>
      <c r="F98" s="5" t="s">
        <v>222</v>
      </c>
      <c r="G98" s="5" t="s">
        <v>17</v>
      </c>
      <c r="H98" s="6">
        <v>20.514802016698901</v>
      </c>
      <c r="I98" s="28">
        <f>AVERAGE(H98:H100)</f>
        <v>20.421799482733665</v>
      </c>
      <c r="J98" s="28">
        <f>_xlfn.STDEV.S(H98:H100)</f>
        <v>0.14807933503369194</v>
      </c>
      <c r="N98" s="8">
        <v>0</v>
      </c>
      <c r="O98" s="9">
        <v>60</v>
      </c>
      <c r="P98" s="5" t="s">
        <v>16</v>
      </c>
      <c r="Q98" s="19"/>
      <c r="R98" s="17"/>
      <c r="U98" s="19"/>
      <c r="V98" s="17"/>
      <c r="Y98" s="19"/>
      <c r="Z98" s="17"/>
      <c r="AC98" s="19"/>
    </row>
    <row r="99" spans="2:29" x14ac:dyDescent="0.2">
      <c r="B99" s="5" t="s">
        <v>57</v>
      </c>
      <c r="C99" s="5" t="s">
        <v>15</v>
      </c>
      <c r="D99" s="5" t="s">
        <v>16</v>
      </c>
      <c r="E99" s="5" t="s">
        <v>20</v>
      </c>
      <c r="F99" s="5" t="s">
        <v>222</v>
      </c>
      <c r="G99" s="5" t="s">
        <v>18</v>
      </c>
      <c r="H99" s="6">
        <v>20.251038866118702</v>
      </c>
      <c r="I99" s="28"/>
      <c r="J99" s="28"/>
      <c r="N99" s="8">
        <v>0</v>
      </c>
      <c r="O99" s="9">
        <v>60</v>
      </c>
      <c r="P99" s="5" t="s">
        <v>16</v>
      </c>
      <c r="Q99" s="19"/>
      <c r="R99" s="17"/>
      <c r="U99" s="19"/>
      <c r="V99" s="17"/>
      <c r="Y99" s="19"/>
      <c r="Z99" s="17"/>
      <c r="AC99" s="19"/>
    </row>
    <row r="100" spans="2:29" x14ac:dyDescent="0.2">
      <c r="B100" s="5" t="s">
        <v>58</v>
      </c>
      <c r="C100" s="5" t="s">
        <v>15</v>
      </c>
      <c r="D100" s="5" t="s">
        <v>16</v>
      </c>
      <c r="E100" s="5" t="s">
        <v>20</v>
      </c>
      <c r="F100" s="5" t="s">
        <v>222</v>
      </c>
      <c r="G100" s="5" t="s">
        <v>19</v>
      </c>
      <c r="H100" s="6">
        <v>20.499557565383402</v>
      </c>
      <c r="I100" s="28"/>
      <c r="J100" s="28"/>
      <c r="N100" s="8">
        <v>0</v>
      </c>
      <c r="O100" s="9">
        <v>60</v>
      </c>
      <c r="P100" s="5" t="s">
        <v>16</v>
      </c>
      <c r="Q100" s="19"/>
      <c r="R100" s="17"/>
      <c r="U100" s="19"/>
      <c r="V100" s="17"/>
      <c r="Y100" s="19"/>
      <c r="Z100" s="17"/>
      <c r="AC100" s="19"/>
    </row>
    <row r="101" spans="2:29" ht="19" x14ac:dyDescent="0.2">
      <c r="B101" s="11"/>
      <c r="C101" s="11"/>
      <c r="D101" s="11"/>
      <c r="E101" s="11"/>
      <c r="F101" s="11"/>
      <c r="G101" s="11"/>
      <c r="H101" s="29"/>
      <c r="I101" s="29"/>
      <c r="J101" s="29"/>
      <c r="K101" s="13"/>
      <c r="L101" s="12"/>
      <c r="M101" s="13"/>
      <c r="N101" s="13">
        <v>0</v>
      </c>
      <c r="O101" s="14">
        <v>60</v>
      </c>
      <c r="P101" s="11" t="s">
        <v>16</v>
      </c>
      <c r="Q101" s="20"/>
      <c r="R101" s="16"/>
      <c r="U101" s="20"/>
      <c r="V101" s="16"/>
      <c r="Y101" s="20"/>
      <c r="Z101" s="16"/>
      <c r="AC101" s="20"/>
    </row>
    <row r="102" spans="2:29" x14ac:dyDescent="0.2">
      <c r="B102" s="21"/>
      <c r="C102" s="21"/>
      <c r="D102" s="21"/>
      <c r="E102" s="21"/>
      <c r="F102" s="21"/>
      <c r="G102" s="21"/>
      <c r="H102" s="30"/>
      <c r="I102" s="30"/>
      <c r="J102" s="30"/>
      <c r="K102" s="21"/>
      <c r="L102" s="21"/>
      <c r="M102" s="21"/>
      <c r="N102" s="21">
        <v>0</v>
      </c>
      <c r="O102" s="21">
        <v>60</v>
      </c>
      <c r="P102" s="21" t="s">
        <v>16</v>
      </c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2:29" x14ac:dyDescent="0.2">
      <c r="B103" s="10"/>
      <c r="C103" s="10"/>
      <c r="D103" s="10"/>
      <c r="E103" s="10"/>
      <c r="F103" s="10"/>
      <c r="G103" s="10"/>
      <c r="H103" s="28"/>
      <c r="I103" s="28"/>
      <c r="J103" s="28"/>
      <c r="K103" s="10"/>
      <c r="L103" s="10"/>
      <c r="M103" s="10"/>
      <c r="N103" s="10"/>
      <c r="O103" s="10"/>
      <c r="P103" s="10"/>
      <c r="Q103" s="19"/>
      <c r="R103" s="17"/>
      <c r="U103" s="19"/>
      <c r="V103" s="17"/>
      <c r="Y103" s="19"/>
      <c r="Z103" s="17"/>
      <c r="AC103" s="19"/>
    </row>
    <row r="104" spans="2:29" x14ac:dyDescent="0.2">
      <c r="B104" s="5" t="s">
        <v>59</v>
      </c>
      <c r="C104" s="5" t="s">
        <v>15</v>
      </c>
      <c r="D104" s="5" t="s">
        <v>16</v>
      </c>
      <c r="E104" s="5" t="s">
        <v>20</v>
      </c>
      <c r="F104" s="5" t="s">
        <v>223</v>
      </c>
      <c r="G104" s="5" t="s">
        <v>17</v>
      </c>
      <c r="H104" s="6">
        <v>21.209240333939999</v>
      </c>
      <c r="I104" s="28">
        <f>AVERAGE(H104:H106)</f>
        <v>21.222460670529362</v>
      </c>
      <c r="J104" s="28">
        <f>_xlfn.STDEV.S(H104:H106)</f>
        <v>2.4897071910228521E-2</v>
      </c>
      <c r="N104" s="8">
        <v>0</v>
      </c>
      <c r="O104" s="9">
        <v>60</v>
      </c>
      <c r="P104" s="5" t="s">
        <v>16</v>
      </c>
      <c r="Q104" s="19"/>
      <c r="R104" s="17"/>
      <c r="U104" s="19"/>
      <c r="V104" s="17"/>
      <c r="Y104" s="19"/>
      <c r="Z104" s="17"/>
      <c r="AC104" s="19"/>
    </row>
    <row r="105" spans="2:29" x14ac:dyDescent="0.2">
      <c r="B105" s="5" t="s">
        <v>60</v>
      </c>
      <c r="C105" s="5" t="s">
        <v>15</v>
      </c>
      <c r="D105" s="5" t="s">
        <v>16</v>
      </c>
      <c r="E105" s="5" t="s">
        <v>20</v>
      </c>
      <c r="F105" s="5" t="s">
        <v>223</v>
      </c>
      <c r="G105" s="5" t="s">
        <v>18</v>
      </c>
      <c r="H105" s="6">
        <v>21.206962441888699</v>
      </c>
      <c r="I105" s="28"/>
      <c r="J105" s="28"/>
      <c r="Q105" s="19"/>
      <c r="R105" s="17"/>
      <c r="U105" s="19"/>
      <c r="V105" s="17"/>
      <c r="Y105" s="19"/>
      <c r="Z105" s="17"/>
      <c r="AC105" s="19"/>
    </row>
    <row r="106" spans="2:29" x14ac:dyDescent="0.2">
      <c r="B106" s="5" t="s">
        <v>61</v>
      </c>
      <c r="C106" s="5" t="s">
        <v>15</v>
      </c>
      <c r="D106" s="5" t="s">
        <v>16</v>
      </c>
      <c r="E106" s="5" t="s">
        <v>20</v>
      </c>
      <c r="F106" s="5" t="s">
        <v>223</v>
      </c>
      <c r="G106" s="5" t="s">
        <v>19</v>
      </c>
      <c r="H106" s="6">
        <v>21.251179235759398</v>
      </c>
      <c r="I106" s="28"/>
      <c r="J106" s="28"/>
      <c r="Q106" s="19"/>
      <c r="R106" s="17"/>
      <c r="U106" s="19"/>
      <c r="V106" s="17"/>
      <c r="Y106" s="19"/>
      <c r="Z106" s="17"/>
      <c r="AC106" s="19"/>
    </row>
    <row r="107" spans="2:29" x14ac:dyDescent="0.2">
      <c r="H107" s="28"/>
      <c r="I107" s="28"/>
      <c r="J107" s="28"/>
      <c r="N107" s="8">
        <v>0</v>
      </c>
      <c r="O107" s="9">
        <v>60</v>
      </c>
      <c r="P107" s="5" t="s">
        <v>16</v>
      </c>
      <c r="Q107" s="19"/>
      <c r="R107" s="17"/>
      <c r="U107" s="19"/>
      <c r="V107" s="17"/>
      <c r="Y107" s="19"/>
      <c r="Z107" s="17"/>
      <c r="AC107" s="19"/>
    </row>
    <row r="108" spans="2:29" x14ac:dyDescent="0.2">
      <c r="B108" s="5" t="s">
        <v>62</v>
      </c>
      <c r="C108" s="5" t="s">
        <v>15</v>
      </c>
      <c r="D108" s="5" t="s">
        <v>16</v>
      </c>
      <c r="E108" s="5" t="s">
        <v>20</v>
      </c>
      <c r="F108" s="5" t="s">
        <v>224</v>
      </c>
      <c r="G108" s="5" t="s">
        <v>17</v>
      </c>
      <c r="H108" s="6">
        <v>23.712846358376201</v>
      </c>
      <c r="I108" s="28">
        <f>AVERAGE(H108:H110)</f>
        <v>23.713059105088501</v>
      </c>
      <c r="J108" s="28">
        <f>_xlfn.STDEV.S(H108:H110)</f>
        <v>7.1391709431346678E-2</v>
      </c>
      <c r="N108" s="8">
        <v>0</v>
      </c>
      <c r="O108" s="9">
        <v>60</v>
      </c>
      <c r="P108" s="5" t="s">
        <v>16</v>
      </c>
      <c r="Q108" s="19"/>
      <c r="R108" s="17"/>
      <c r="U108" s="19"/>
      <c r="V108" s="17"/>
      <c r="Y108" s="19"/>
      <c r="Z108" s="17"/>
      <c r="AC108" s="19"/>
    </row>
    <row r="109" spans="2:29" x14ac:dyDescent="0.2">
      <c r="B109" s="5" t="s">
        <v>63</v>
      </c>
      <c r="C109" s="5" t="s">
        <v>15</v>
      </c>
      <c r="D109" s="5" t="s">
        <v>16</v>
      </c>
      <c r="E109" s="5" t="s">
        <v>20</v>
      </c>
      <c r="F109" s="5" t="s">
        <v>224</v>
      </c>
      <c r="G109" s="5" t="s">
        <v>18</v>
      </c>
      <c r="H109" s="6">
        <v>23.641774006757501</v>
      </c>
      <c r="I109" s="28"/>
      <c r="J109" s="28"/>
      <c r="N109" s="8">
        <v>0</v>
      </c>
      <c r="O109" s="9">
        <v>60</v>
      </c>
      <c r="P109" s="5" t="s">
        <v>16</v>
      </c>
      <c r="Q109" s="19"/>
      <c r="R109" s="17"/>
      <c r="U109" s="19"/>
      <c r="V109" s="17"/>
      <c r="Y109" s="19"/>
      <c r="Z109" s="17"/>
      <c r="AC109" s="19"/>
    </row>
    <row r="110" spans="2:29" x14ac:dyDescent="0.2">
      <c r="B110" s="5" t="s">
        <v>64</v>
      </c>
      <c r="C110" s="5" t="s">
        <v>15</v>
      </c>
      <c r="D110" s="5" t="s">
        <v>16</v>
      </c>
      <c r="E110" s="5" t="s">
        <v>20</v>
      </c>
      <c r="F110" s="5" t="s">
        <v>224</v>
      </c>
      <c r="G110" s="5" t="s">
        <v>19</v>
      </c>
      <c r="H110" s="6">
        <v>23.784556950131801</v>
      </c>
      <c r="I110" s="28"/>
      <c r="J110" s="28"/>
      <c r="N110" s="8">
        <v>0</v>
      </c>
      <c r="O110" s="9">
        <v>60</v>
      </c>
      <c r="P110" s="5" t="s">
        <v>16</v>
      </c>
      <c r="Q110" s="19"/>
      <c r="R110" s="17"/>
      <c r="U110" s="19"/>
      <c r="V110" s="17"/>
      <c r="Y110" s="19"/>
      <c r="Z110" s="17"/>
      <c r="AC110" s="19"/>
    </row>
    <row r="111" spans="2:29" x14ac:dyDescent="0.2">
      <c r="H111" s="28"/>
      <c r="I111" s="28"/>
      <c r="J111" s="28"/>
      <c r="N111" s="8">
        <v>0</v>
      </c>
      <c r="O111" s="9">
        <v>60</v>
      </c>
      <c r="P111" s="5" t="s">
        <v>16</v>
      </c>
      <c r="Q111" s="19"/>
      <c r="R111" s="17"/>
      <c r="U111" s="19"/>
      <c r="V111" s="17"/>
      <c r="Y111" s="19"/>
      <c r="Z111" s="17"/>
      <c r="AC111" s="19"/>
    </row>
    <row r="112" spans="2:29" x14ac:dyDescent="0.2">
      <c r="B112" s="5" t="s">
        <v>65</v>
      </c>
      <c r="C112" s="5" t="s">
        <v>15</v>
      </c>
      <c r="D112" s="5" t="s">
        <v>16</v>
      </c>
      <c r="E112" s="5" t="s">
        <v>20</v>
      </c>
      <c r="F112" s="5" t="s">
        <v>225</v>
      </c>
      <c r="G112" s="5" t="s">
        <v>17</v>
      </c>
      <c r="H112" s="6">
        <v>22.549227443811802</v>
      </c>
      <c r="I112" s="28">
        <f>AVERAGE(H112:H114)</f>
        <v>22.484791713738733</v>
      </c>
      <c r="J112" s="28">
        <f>_xlfn.STDEV.S(H112:H114)</f>
        <v>8.7318837637034699E-2</v>
      </c>
      <c r="N112" s="8">
        <v>0</v>
      </c>
      <c r="O112" s="9">
        <v>60</v>
      </c>
      <c r="P112" s="5" t="s">
        <v>16</v>
      </c>
      <c r="Q112" s="19"/>
      <c r="R112" s="17"/>
      <c r="U112" s="19"/>
      <c r="V112" s="17"/>
      <c r="Y112" s="19"/>
      <c r="Z112" s="17"/>
      <c r="AC112" s="19"/>
    </row>
    <row r="113" spans="2:29" x14ac:dyDescent="0.2">
      <c r="B113" s="5" t="s">
        <v>66</v>
      </c>
      <c r="C113" s="5" t="s">
        <v>15</v>
      </c>
      <c r="D113" s="5" t="s">
        <v>16</v>
      </c>
      <c r="E113" s="5" t="s">
        <v>20</v>
      </c>
      <c r="F113" s="5" t="s">
        <v>225</v>
      </c>
      <c r="G113" s="5" t="s">
        <v>18</v>
      </c>
      <c r="H113" s="6">
        <v>22.3854127965682</v>
      </c>
      <c r="I113" s="28"/>
      <c r="J113" s="28"/>
      <c r="N113" s="8">
        <v>0</v>
      </c>
      <c r="O113" s="9">
        <v>60</v>
      </c>
      <c r="P113" s="5" t="s">
        <v>16</v>
      </c>
      <c r="Q113" s="19"/>
      <c r="R113" s="17"/>
      <c r="U113" s="19"/>
      <c r="V113" s="17"/>
      <c r="Y113" s="19"/>
      <c r="Z113" s="17"/>
      <c r="AC113" s="19"/>
    </row>
    <row r="114" spans="2:29" x14ac:dyDescent="0.2">
      <c r="B114" s="5" t="s">
        <v>67</v>
      </c>
      <c r="C114" s="5" t="s">
        <v>15</v>
      </c>
      <c r="D114" s="5" t="s">
        <v>16</v>
      </c>
      <c r="E114" s="5" t="s">
        <v>20</v>
      </c>
      <c r="F114" s="5" t="s">
        <v>225</v>
      </c>
      <c r="G114" s="5" t="s">
        <v>19</v>
      </c>
      <c r="H114" s="6">
        <v>22.519734900836202</v>
      </c>
      <c r="I114" s="28"/>
      <c r="J114" s="28"/>
      <c r="N114" s="8">
        <v>0</v>
      </c>
      <c r="O114" s="9">
        <v>60</v>
      </c>
      <c r="P114" s="5" t="s">
        <v>16</v>
      </c>
      <c r="Q114" s="19"/>
      <c r="R114" s="17"/>
      <c r="U114" s="19"/>
      <c r="V114" s="17"/>
      <c r="Y114" s="19"/>
      <c r="Z114" s="17"/>
      <c r="AC114" s="19"/>
    </row>
    <row r="115" spans="2:29" x14ac:dyDescent="0.2">
      <c r="B115" s="10"/>
      <c r="C115" s="10"/>
      <c r="D115" s="10"/>
      <c r="E115" s="10"/>
      <c r="F115" s="10"/>
      <c r="H115" s="28"/>
      <c r="I115" s="28"/>
      <c r="J115" s="28"/>
      <c r="N115" s="8">
        <v>0</v>
      </c>
      <c r="O115" s="9">
        <v>60</v>
      </c>
      <c r="P115" s="5" t="s">
        <v>16</v>
      </c>
      <c r="Q115" s="19"/>
      <c r="R115" s="17"/>
      <c r="U115" s="19"/>
      <c r="V115" s="17"/>
      <c r="Y115" s="19"/>
      <c r="Z115" s="17"/>
      <c r="AC115" s="19"/>
    </row>
    <row r="116" spans="2:29" x14ac:dyDescent="0.2">
      <c r="B116" s="5" t="s">
        <v>68</v>
      </c>
      <c r="C116" s="5" t="s">
        <v>15</v>
      </c>
      <c r="D116" s="5" t="s">
        <v>16</v>
      </c>
      <c r="E116" s="5" t="s">
        <v>20</v>
      </c>
      <c r="F116" s="5" t="s">
        <v>226</v>
      </c>
      <c r="G116" s="5" t="s">
        <v>17</v>
      </c>
      <c r="H116" s="6">
        <v>22.567521802067301</v>
      </c>
      <c r="I116" s="28">
        <f>AVERAGE(H116:H118)</f>
        <v>22.558754513949498</v>
      </c>
      <c r="J116" s="28">
        <f>_xlfn.STDEV.S(H116:H118)</f>
        <v>2.1249512204795595E-2</v>
      </c>
      <c r="N116" s="8">
        <v>0</v>
      </c>
      <c r="O116" s="9">
        <v>60</v>
      </c>
      <c r="P116" s="5" t="s">
        <v>16</v>
      </c>
      <c r="Q116" s="19"/>
      <c r="R116" s="17"/>
      <c r="U116" s="19"/>
      <c r="V116" s="17"/>
      <c r="Y116" s="19"/>
      <c r="Z116" s="17"/>
      <c r="AC116" s="19"/>
    </row>
    <row r="117" spans="2:29" x14ac:dyDescent="0.2">
      <c r="B117" s="5" t="s">
        <v>69</v>
      </c>
      <c r="C117" s="5" t="s">
        <v>15</v>
      </c>
      <c r="D117" s="5" t="s">
        <v>16</v>
      </c>
      <c r="E117" s="5" t="s">
        <v>20</v>
      </c>
      <c r="F117" s="5" t="s">
        <v>226</v>
      </c>
      <c r="G117" s="5" t="s">
        <v>18</v>
      </c>
      <c r="H117" s="6">
        <v>22.574217601693</v>
      </c>
      <c r="I117" s="28"/>
      <c r="J117" s="28"/>
      <c r="N117" s="8">
        <v>0</v>
      </c>
      <c r="O117" s="9">
        <v>60</v>
      </c>
      <c r="P117" s="5" t="s">
        <v>16</v>
      </c>
      <c r="Q117" s="19"/>
      <c r="R117" s="17"/>
      <c r="U117" s="19"/>
      <c r="V117" s="17"/>
      <c r="Y117" s="19"/>
      <c r="Z117" s="17"/>
      <c r="AC117" s="19"/>
    </row>
    <row r="118" spans="2:29" x14ac:dyDescent="0.2">
      <c r="B118" s="5" t="s">
        <v>70</v>
      </c>
      <c r="C118" s="5" t="s">
        <v>15</v>
      </c>
      <c r="D118" s="5" t="s">
        <v>16</v>
      </c>
      <c r="E118" s="5" t="s">
        <v>20</v>
      </c>
      <c r="F118" s="5" t="s">
        <v>226</v>
      </c>
      <c r="G118" s="5" t="s">
        <v>19</v>
      </c>
      <c r="H118" s="6">
        <v>22.534524138088202</v>
      </c>
      <c r="I118" s="28"/>
      <c r="J118" s="28"/>
      <c r="N118" s="8">
        <v>0</v>
      </c>
      <c r="O118" s="9">
        <v>60</v>
      </c>
      <c r="P118" s="5" t="s">
        <v>16</v>
      </c>
      <c r="Q118" s="19"/>
      <c r="R118" s="17"/>
      <c r="U118" s="19"/>
      <c r="V118" s="17"/>
      <c r="Y118" s="19"/>
      <c r="Z118" s="17"/>
      <c r="AC118" s="19"/>
    </row>
    <row r="119" spans="2:29" x14ac:dyDescent="0.2">
      <c r="C119" s="10"/>
      <c r="D119" s="10"/>
      <c r="E119" s="10"/>
      <c r="F119" s="10"/>
      <c r="H119" s="28"/>
      <c r="I119" s="28"/>
      <c r="J119" s="28"/>
      <c r="N119" s="8">
        <v>0</v>
      </c>
      <c r="O119" s="9">
        <v>60</v>
      </c>
      <c r="P119" s="5" t="s">
        <v>16</v>
      </c>
      <c r="Q119" s="19"/>
      <c r="R119" s="17"/>
      <c r="U119" s="19"/>
      <c r="V119" s="17"/>
      <c r="Y119" s="19"/>
      <c r="Z119" s="17"/>
      <c r="AC119" s="19"/>
    </row>
    <row r="120" spans="2:29" x14ac:dyDescent="0.2">
      <c r="B120" s="5" t="s">
        <v>71</v>
      </c>
      <c r="C120" s="5" t="s">
        <v>15</v>
      </c>
      <c r="D120" s="5" t="s">
        <v>16</v>
      </c>
      <c r="E120" s="5" t="s">
        <v>20</v>
      </c>
      <c r="F120" s="5" t="s">
        <v>227</v>
      </c>
      <c r="G120" s="5" t="s">
        <v>17</v>
      </c>
      <c r="H120" s="6">
        <v>22.447355991174899</v>
      </c>
      <c r="I120" s="28">
        <f>AVERAGE(H120:H122)</f>
        <v>22.490648153168433</v>
      </c>
      <c r="J120" s="28">
        <f>_xlfn.STDEV.S(H120:H122)</f>
        <v>6.151658332520691E-2</v>
      </c>
      <c r="N120" s="8">
        <v>0</v>
      </c>
      <c r="O120" s="9">
        <v>60</v>
      </c>
      <c r="P120" s="5" t="s">
        <v>16</v>
      </c>
      <c r="Q120" s="19"/>
      <c r="R120" s="17"/>
      <c r="U120" s="19"/>
      <c r="V120" s="17"/>
      <c r="Y120" s="19"/>
      <c r="Z120" s="17"/>
      <c r="AC120" s="19"/>
    </row>
    <row r="121" spans="2:29" x14ac:dyDescent="0.2">
      <c r="B121" s="5" t="s">
        <v>72</v>
      </c>
      <c r="C121" s="5" t="s">
        <v>15</v>
      </c>
      <c r="D121" s="5" t="s">
        <v>16</v>
      </c>
      <c r="E121" s="5" t="s">
        <v>20</v>
      </c>
      <c r="F121" s="5" t="s">
        <v>227</v>
      </c>
      <c r="G121" s="5" t="s">
        <v>18</v>
      </c>
      <c r="H121" s="6">
        <v>22.4635230176902</v>
      </c>
      <c r="I121" s="28"/>
      <c r="J121" s="28"/>
      <c r="N121" s="8">
        <v>0</v>
      </c>
      <c r="O121" s="9">
        <v>60</v>
      </c>
      <c r="P121" s="5" t="s">
        <v>16</v>
      </c>
      <c r="Q121" s="19"/>
      <c r="R121" s="17"/>
      <c r="U121" s="19"/>
      <c r="V121" s="17"/>
      <c r="Y121" s="19"/>
      <c r="Z121" s="17"/>
      <c r="AC121" s="19"/>
    </row>
    <row r="122" spans="2:29" x14ac:dyDescent="0.2">
      <c r="B122" s="5" t="s">
        <v>73</v>
      </c>
      <c r="C122" s="5" t="s">
        <v>15</v>
      </c>
      <c r="D122" s="5" t="s">
        <v>16</v>
      </c>
      <c r="E122" s="5" t="s">
        <v>20</v>
      </c>
      <c r="F122" s="5" t="s">
        <v>227</v>
      </c>
      <c r="G122" s="5" t="s">
        <v>19</v>
      </c>
      <c r="H122" s="6">
        <v>22.5610654506402</v>
      </c>
      <c r="I122" s="28"/>
      <c r="J122" s="28"/>
      <c r="N122" s="8">
        <v>0</v>
      </c>
      <c r="O122" s="9">
        <v>60</v>
      </c>
      <c r="P122" s="5" t="s">
        <v>16</v>
      </c>
      <c r="Q122" s="19"/>
      <c r="R122" s="17"/>
      <c r="U122" s="19"/>
      <c r="V122" s="17"/>
      <c r="Y122" s="19"/>
      <c r="Z122" s="17"/>
      <c r="AC122" s="19"/>
    </row>
    <row r="123" spans="2:29" x14ac:dyDescent="0.2">
      <c r="H123" s="28"/>
      <c r="I123" s="28"/>
      <c r="J123" s="28"/>
      <c r="Q123" s="19"/>
      <c r="R123" s="17"/>
      <c r="U123" s="19"/>
      <c r="V123" s="17"/>
      <c r="Y123" s="19"/>
      <c r="Z123" s="17"/>
      <c r="AC123" s="19"/>
    </row>
    <row r="124" spans="2:29" x14ac:dyDescent="0.2">
      <c r="B124" s="5" t="s">
        <v>74</v>
      </c>
      <c r="C124" s="5" t="s">
        <v>15</v>
      </c>
      <c r="D124" s="5" t="s">
        <v>16</v>
      </c>
      <c r="E124" s="5" t="s">
        <v>20</v>
      </c>
      <c r="F124" s="5" t="s">
        <v>228</v>
      </c>
      <c r="G124" s="5" t="s">
        <v>17</v>
      </c>
      <c r="H124" s="6">
        <v>21.522043197321999</v>
      </c>
      <c r="I124" s="28">
        <f>AVERAGE(H124:H126)</f>
        <v>21.479301451574901</v>
      </c>
      <c r="J124" s="28">
        <f>_xlfn.STDEV.S(H124:H126)</f>
        <v>4.1952880079541927E-2</v>
      </c>
      <c r="N124" s="8">
        <v>0</v>
      </c>
      <c r="O124" s="9">
        <v>60</v>
      </c>
      <c r="P124" s="5" t="s">
        <v>16</v>
      </c>
      <c r="Q124" s="19"/>
      <c r="R124" s="17"/>
      <c r="U124" s="19"/>
      <c r="V124" s="17"/>
      <c r="Y124" s="19"/>
      <c r="Z124" s="17"/>
      <c r="AC124" s="19"/>
    </row>
    <row r="125" spans="2:29" x14ac:dyDescent="0.2">
      <c r="B125" s="5" t="s">
        <v>75</v>
      </c>
      <c r="C125" s="5" t="s">
        <v>15</v>
      </c>
      <c r="D125" s="5" t="s">
        <v>16</v>
      </c>
      <c r="E125" s="5" t="s">
        <v>20</v>
      </c>
      <c r="F125" s="5" t="s">
        <v>228</v>
      </c>
      <c r="G125" s="5" t="s">
        <v>18</v>
      </c>
      <c r="H125" s="6">
        <v>21.438184654442502</v>
      </c>
      <c r="I125" s="28"/>
      <c r="J125" s="28"/>
      <c r="N125" s="8">
        <v>0</v>
      </c>
      <c r="O125" s="9">
        <v>60</v>
      </c>
      <c r="P125" s="5" t="s">
        <v>16</v>
      </c>
      <c r="Q125" s="19"/>
      <c r="R125" s="17"/>
      <c r="U125" s="19"/>
      <c r="V125" s="17"/>
      <c r="Y125" s="19"/>
      <c r="Z125" s="17"/>
      <c r="AC125" s="19"/>
    </row>
    <row r="126" spans="2:29" x14ac:dyDescent="0.2">
      <c r="B126" s="5" t="s">
        <v>76</v>
      </c>
      <c r="C126" s="5" t="s">
        <v>15</v>
      </c>
      <c r="D126" s="5" t="s">
        <v>16</v>
      </c>
      <c r="E126" s="5" t="s">
        <v>20</v>
      </c>
      <c r="F126" s="5" t="s">
        <v>228</v>
      </c>
      <c r="G126" s="5" t="s">
        <v>19</v>
      </c>
      <c r="H126" s="6">
        <v>21.4776765029602</v>
      </c>
      <c r="I126" s="28"/>
      <c r="J126" s="28"/>
      <c r="N126" s="8">
        <v>0</v>
      </c>
      <c r="O126" s="9">
        <v>60</v>
      </c>
      <c r="P126" s="5" t="s">
        <v>16</v>
      </c>
      <c r="Q126" s="19"/>
      <c r="R126" s="17"/>
      <c r="U126" s="19"/>
      <c r="V126" s="17"/>
      <c r="Y126" s="19"/>
      <c r="Z126" s="17"/>
      <c r="AC126" s="19"/>
    </row>
    <row r="127" spans="2:29" x14ac:dyDescent="0.2">
      <c r="H127" s="28"/>
      <c r="I127" s="28"/>
      <c r="J127" s="28"/>
      <c r="Q127" s="19"/>
      <c r="R127" s="17"/>
      <c r="U127" s="19"/>
      <c r="V127" s="17"/>
      <c r="Y127" s="19"/>
      <c r="Z127" s="17"/>
      <c r="AC127" s="19"/>
    </row>
    <row r="128" spans="2:29" x14ac:dyDescent="0.2">
      <c r="B128" s="5" t="s">
        <v>313</v>
      </c>
      <c r="C128" s="5" t="s">
        <v>15</v>
      </c>
      <c r="D128" s="5" t="s">
        <v>16</v>
      </c>
      <c r="E128" s="5" t="s">
        <v>20</v>
      </c>
      <c r="F128" s="5" t="s">
        <v>229</v>
      </c>
      <c r="G128" s="5" t="s">
        <v>17</v>
      </c>
      <c r="H128" s="6">
        <v>22.683065342707099</v>
      </c>
      <c r="I128" s="28">
        <f>AVERAGE(H128:H130)</f>
        <v>22.811537352284933</v>
      </c>
      <c r="J128" s="28">
        <f>_xlfn.STDEV.S(H128:H130)</f>
        <v>0.13966783959107226</v>
      </c>
      <c r="N128" s="8">
        <v>0</v>
      </c>
      <c r="O128" s="9">
        <v>60</v>
      </c>
      <c r="P128" s="5" t="s">
        <v>16</v>
      </c>
      <c r="Q128" s="19"/>
      <c r="R128" s="17"/>
      <c r="U128" s="19"/>
      <c r="V128" s="17"/>
      <c r="Y128" s="19"/>
      <c r="Z128" s="17"/>
      <c r="AC128" s="19"/>
    </row>
    <row r="129" spans="2:29" x14ac:dyDescent="0.2">
      <c r="B129" s="5" t="s">
        <v>314</v>
      </c>
      <c r="C129" s="5" t="s">
        <v>15</v>
      </c>
      <c r="D129" s="5" t="s">
        <v>16</v>
      </c>
      <c r="E129" s="5" t="s">
        <v>20</v>
      </c>
      <c r="F129" s="5" t="s">
        <v>229</v>
      </c>
      <c r="G129" s="5" t="s">
        <v>18</v>
      </c>
      <c r="H129" s="6">
        <v>22.791344022821399</v>
      </c>
      <c r="I129" s="28"/>
      <c r="J129" s="28"/>
      <c r="N129" s="8">
        <v>0</v>
      </c>
      <c r="O129" s="9">
        <v>60</v>
      </c>
      <c r="P129" s="5" t="s">
        <v>16</v>
      </c>
      <c r="Q129" s="19"/>
      <c r="R129" s="17"/>
      <c r="U129" s="19"/>
      <c r="V129" s="17"/>
      <c r="Y129" s="19"/>
      <c r="Z129" s="17"/>
      <c r="AC129" s="19"/>
    </row>
    <row r="130" spans="2:29" x14ac:dyDescent="0.2">
      <c r="B130" s="5" t="s">
        <v>315</v>
      </c>
      <c r="C130" s="5" t="s">
        <v>15</v>
      </c>
      <c r="D130" s="5" t="s">
        <v>16</v>
      </c>
      <c r="E130" s="5" t="s">
        <v>20</v>
      </c>
      <c r="F130" s="5" t="s">
        <v>229</v>
      </c>
      <c r="G130" s="5" t="s">
        <v>19</v>
      </c>
      <c r="H130" s="6">
        <v>22.960202691326302</v>
      </c>
      <c r="I130" s="28"/>
      <c r="J130" s="28"/>
      <c r="N130" s="8">
        <v>0</v>
      </c>
      <c r="O130" s="9">
        <v>60</v>
      </c>
      <c r="P130" s="5" t="s">
        <v>16</v>
      </c>
      <c r="Q130" s="19"/>
      <c r="R130" s="17"/>
      <c r="U130" s="19"/>
      <c r="V130" s="17"/>
      <c r="Y130" s="19"/>
      <c r="Z130" s="17"/>
      <c r="AC130" s="19"/>
    </row>
    <row r="131" spans="2:29" x14ac:dyDescent="0.2">
      <c r="H131" s="28"/>
      <c r="I131" s="28"/>
      <c r="J131" s="28"/>
      <c r="Q131" s="19"/>
      <c r="R131" s="17"/>
      <c r="U131" s="19"/>
      <c r="V131" s="17"/>
      <c r="Y131" s="19"/>
      <c r="Z131" s="17"/>
      <c r="AC131" s="19"/>
    </row>
    <row r="132" spans="2:29" x14ac:dyDescent="0.2">
      <c r="B132" s="5" t="s">
        <v>316</v>
      </c>
      <c r="C132" s="5" t="s">
        <v>15</v>
      </c>
      <c r="D132" s="5" t="s">
        <v>16</v>
      </c>
      <c r="E132" s="5" t="s">
        <v>20</v>
      </c>
      <c r="F132" s="5" t="s">
        <v>230</v>
      </c>
      <c r="G132" s="5" t="s">
        <v>17</v>
      </c>
      <c r="H132" s="6">
        <v>21.18</v>
      </c>
      <c r="I132" s="28">
        <f>AVERAGE(H132:H134)</f>
        <v>21.173333333333332</v>
      </c>
      <c r="J132" s="28">
        <f>_xlfn.STDEV.S(H132:H134)</f>
        <v>9.0184995056459508E-2</v>
      </c>
      <c r="N132" s="8">
        <v>0</v>
      </c>
      <c r="O132" s="9">
        <v>60</v>
      </c>
      <c r="P132" s="5" t="s">
        <v>16</v>
      </c>
      <c r="Q132" s="19"/>
      <c r="R132" s="17"/>
      <c r="U132" s="19"/>
      <c r="V132" s="17"/>
      <c r="Y132" s="19"/>
      <c r="Z132" s="17"/>
      <c r="AC132" s="19"/>
    </row>
    <row r="133" spans="2:29" x14ac:dyDescent="0.2">
      <c r="B133" s="5" t="s">
        <v>317</v>
      </c>
      <c r="C133" s="5" t="s">
        <v>15</v>
      </c>
      <c r="D133" s="5" t="s">
        <v>16</v>
      </c>
      <c r="E133" s="5" t="s">
        <v>20</v>
      </c>
      <c r="F133" s="5" t="s">
        <v>230</v>
      </c>
      <c r="G133" s="5" t="s">
        <v>18</v>
      </c>
      <c r="H133" s="6">
        <v>21.26</v>
      </c>
      <c r="I133" s="28"/>
      <c r="J133" s="28"/>
      <c r="N133" s="8">
        <v>0</v>
      </c>
      <c r="O133" s="9">
        <v>60</v>
      </c>
      <c r="P133" s="5" t="s">
        <v>16</v>
      </c>
      <c r="Q133" s="19"/>
      <c r="R133" s="17"/>
      <c r="U133" s="19"/>
      <c r="V133" s="17"/>
      <c r="Y133" s="19"/>
      <c r="Z133" s="17"/>
      <c r="AC133" s="19"/>
    </row>
    <row r="134" spans="2:29" x14ac:dyDescent="0.2">
      <c r="B134" s="5" t="s">
        <v>318</v>
      </c>
      <c r="C134" s="5" t="s">
        <v>15</v>
      </c>
      <c r="D134" s="5" t="s">
        <v>16</v>
      </c>
      <c r="E134" s="5" t="s">
        <v>20</v>
      </c>
      <c r="F134" s="5" t="s">
        <v>230</v>
      </c>
      <c r="G134" s="5" t="s">
        <v>19</v>
      </c>
      <c r="H134" s="6">
        <v>21.08</v>
      </c>
      <c r="I134" s="28"/>
      <c r="J134" s="28"/>
      <c r="N134" s="8">
        <v>0</v>
      </c>
      <c r="O134" s="9">
        <v>60</v>
      </c>
      <c r="P134" s="5" t="s">
        <v>16</v>
      </c>
      <c r="Q134" s="19"/>
      <c r="R134" s="17"/>
      <c r="U134" s="19"/>
      <c r="V134" s="17"/>
      <c r="Y134" s="19"/>
      <c r="Z134" s="17"/>
      <c r="AC134" s="19"/>
    </row>
    <row r="135" spans="2:29" x14ac:dyDescent="0.2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</sheetData>
  <conditionalFormatting sqref="R2:R30">
    <cfRule type="cellIs" dxfId="26" priority="8" operator="greaterThanOrEqual">
      <formula>1</formula>
    </cfRule>
    <cfRule type="cellIs" dxfId="25" priority="6" operator="between">
      <formula>0.0001</formula>
      <formula>0.9</formula>
    </cfRule>
    <cfRule type="cellIs" dxfId="24" priority="3" operator="between">
      <formula>0.9</formula>
      <formula>1</formula>
    </cfRule>
  </conditionalFormatting>
  <conditionalFormatting sqref="V2:V30">
    <cfRule type="cellIs" dxfId="23" priority="4" operator="between">
      <formula>0.0001</formula>
      <formula>0.9</formula>
    </cfRule>
    <cfRule type="cellIs" dxfId="22" priority="9" operator="greaterThanOrEqual">
      <formula>1</formula>
    </cfRule>
    <cfRule type="cellIs" dxfId="21" priority="1" operator="between">
      <formula>0.9</formula>
      <formula>1</formula>
    </cfRule>
  </conditionalFormatting>
  <conditionalFormatting sqref="Z2:Z30">
    <cfRule type="cellIs" dxfId="20" priority="2" operator="between">
      <formula>0.9</formula>
      <formula>1</formula>
    </cfRule>
    <cfRule type="cellIs" dxfId="19" priority="7" operator="greaterThanOrEqual">
      <formula>1</formula>
    </cfRule>
    <cfRule type="cellIs" dxfId="18" priority="5" operator="between">
      <formula>0.0001</formula>
      <formula>0.9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CE2C-BA29-5B48-AF05-24A78E496B51}">
  <dimension ref="A1:AC135"/>
  <sheetViews>
    <sheetView workbookViewId="0">
      <selection activeCell="S45" sqref="S45"/>
    </sheetView>
  </sheetViews>
  <sheetFormatPr baseColWidth="10" defaultColWidth="6.6640625" defaultRowHeight="16" x14ac:dyDescent="0.2"/>
  <cols>
    <col min="1" max="1" width="1" style="4" customWidth="1"/>
    <col min="2" max="3" width="6.6640625" style="5"/>
    <col min="4" max="4" width="8.83203125" style="5" customWidth="1"/>
    <col min="5" max="5" width="8.33203125" style="5" bestFit="1" customWidth="1"/>
    <col min="6" max="6" width="16.33203125" style="5" bestFit="1" customWidth="1"/>
    <col min="7" max="7" width="20.1640625" style="5" bestFit="1" customWidth="1"/>
    <col min="8" max="8" width="10" style="6" customWidth="1"/>
    <col min="9" max="9" width="8.83203125" style="6" customWidth="1"/>
    <col min="10" max="10" width="10" style="7" customWidth="1"/>
    <col min="11" max="11" width="12.1640625" style="8" hidden="1" customWidth="1"/>
    <col min="12" max="12" width="12.1640625" style="7" hidden="1" customWidth="1"/>
    <col min="13" max="14" width="12.1640625" style="8" hidden="1" customWidth="1"/>
    <col min="15" max="15" width="6.6640625" style="9" hidden="1" customWidth="1"/>
    <col min="16" max="16" width="12.1640625" style="5" hidden="1" customWidth="1"/>
    <col min="17" max="17" width="3.5" style="10" customWidth="1"/>
    <col min="18" max="18" width="11.83203125" style="10" customWidth="1"/>
    <col min="19" max="19" width="14.83203125" style="10" customWidth="1"/>
    <col min="20" max="20" width="18.5" style="10" customWidth="1"/>
    <col min="21" max="21" width="3.5" style="10" customWidth="1"/>
    <col min="22" max="22" width="11.83203125" style="10" customWidth="1"/>
    <col min="23" max="23" width="15.33203125" style="10" customWidth="1"/>
    <col min="24" max="24" width="19.33203125" style="10" customWidth="1"/>
    <col min="25" max="25" width="3.5" style="10" customWidth="1"/>
    <col min="26" max="26" width="11.83203125" style="10" customWidth="1"/>
    <col min="27" max="27" width="15.5" style="10" customWidth="1"/>
    <col min="28" max="28" width="18.83203125" style="10" customWidth="1"/>
    <col min="29" max="29" width="3.5" style="10" customWidth="1"/>
    <col min="30" max="16384" width="6.6640625" style="10"/>
  </cols>
  <sheetData>
    <row r="1" spans="1:29" s="3" customFormat="1" ht="30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8"/>
      <c r="R1" s="15" t="s">
        <v>101</v>
      </c>
      <c r="S1" s="2" t="s">
        <v>102</v>
      </c>
      <c r="T1" s="2" t="s">
        <v>103</v>
      </c>
      <c r="U1" s="22"/>
      <c r="V1" s="15" t="s">
        <v>104</v>
      </c>
      <c r="W1" s="2" t="s">
        <v>105</v>
      </c>
      <c r="X1" s="2" t="s">
        <v>106</v>
      </c>
      <c r="Y1" s="22"/>
      <c r="Z1" s="15" t="s">
        <v>107</v>
      </c>
      <c r="AA1" s="2" t="s">
        <v>108</v>
      </c>
      <c r="AB1" s="2" t="s">
        <v>109</v>
      </c>
      <c r="AC1" s="18"/>
    </row>
    <row r="2" spans="1:29" ht="15" customHeight="1" x14ac:dyDescent="0.25">
      <c r="B2" s="5" t="s">
        <v>274</v>
      </c>
      <c r="C2" s="5" t="s">
        <v>15</v>
      </c>
      <c r="D2" s="5" t="s">
        <v>16</v>
      </c>
      <c r="E2" s="5" t="s">
        <v>20</v>
      </c>
      <c r="F2" s="5" t="s">
        <v>166</v>
      </c>
      <c r="G2" s="5" t="s">
        <v>17</v>
      </c>
      <c r="H2" s="6">
        <v>25.458688157840601</v>
      </c>
      <c r="I2" s="28">
        <f>AVERAGE(H2:H4)</f>
        <v>25.6210571404856</v>
      </c>
      <c r="J2" s="28">
        <f>_xlfn.STDEV.S(H2:H4)</f>
        <v>0.20255307053568392</v>
      </c>
      <c r="Q2" s="19"/>
      <c r="R2" s="31">
        <f>I2/I36</f>
        <v>1.1245197920425414</v>
      </c>
      <c r="S2" s="32">
        <f>I2-I36</f>
        <v>2.8370587424242011</v>
      </c>
      <c r="T2" s="32">
        <f>POWER(2,S2)</f>
        <v>7.1456177620584889</v>
      </c>
      <c r="U2" s="33"/>
      <c r="V2" s="31">
        <f>I2/I70</f>
        <v>1.055523087709928</v>
      </c>
      <c r="W2" s="32">
        <f>I2-I70</f>
        <v>1.3477300680543678</v>
      </c>
      <c r="X2" s="32">
        <f>POWER(2,W2)</f>
        <v>2.5451136287068539</v>
      </c>
      <c r="Y2" s="33"/>
      <c r="Z2" s="31">
        <f>I2/I104</f>
        <v>1.0130512974013237</v>
      </c>
      <c r="AA2" s="32">
        <f>I2-I104</f>
        <v>0.3300800634030665</v>
      </c>
      <c r="AB2" s="32">
        <f>POWER(2,AA2)</f>
        <v>1.2570831353224339</v>
      </c>
      <c r="AC2" s="19"/>
    </row>
    <row r="3" spans="1:29" ht="15" customHeight="1" x14ac:dyDescent="0.25">
      <c r="B3" s="5" t="s">
        <v>275</v>
      </c>
      <c r="C3" s="5" t="s">
        <v>15</v>
      </c>
      <c r="D3" s="5" t="s">
        <v>16</v>
      </c>
      <c r="E3" s="5" t="s">
        <v>20</v>
      </c>
      <c r="F3" s="5" t="s">
        <v>166</v>
      </c>
      <c r="G3" s="5" t="s">
        <v>18</v>
      </c>
      <c r="H3" s="6">
        <v>25.556450749069999</v>
      </c>
      <c r="I3" s="28"/>
      <c r="J3" s="28"/>
      <c r="Q3" s="19"/>
      <c r="R3" s="31"/>
      <c r="S3" s="32"/>
      <c r="T3" s="32"/>
      <c r="U3" s="33"/>
      <c r="V3" s="31"/>
      <c r="W3" s="32"/>
      <c r="X3" s="32"/>
      <c r="Y3" s="33"/>
      <c r="Z3" s="31"/>
      <c r="AA3" s="32"/>
      <c r="AB3" s="32"/>
      <c r="AC3" s="19"/>
    </row>
    <row r="4" spans="1:29" ht="15" customHeight="1" x14ac:dyDescent="0.25">
      <c r="B4" s="5" t="s">
        <v>276</v>
      </c>
      <c r="C4" s="5" t="s">
        <v>15</v>
      </c>
      <c r="D4" s="5" t="s">
        <v>16</v>
      </c>
      <c r="E4" s="5" t="s">
        <v>20</v>
      </c>
      <c r="F4" s="5" t="s">
        <v>166</v>
      </c>
      <c r="G4" s="5" t="s">
        <v>19</v>
      </c>
      <c r="H4" s="6">
        <v>25.848032514546201</v>
      </c>
      <c r="I4" s="28"/>
      <c r="J4" s="28"/>
      <c r="Q4" s="19"/>
      <c r="R4" s="31"/>
      <c r="S4" s="32"/>
      <c r="T4" s="32"/>
      <c r="U4" s="33"/>
      <c r="V4" s="31"/>
      <c r="W4" s="32"/>
      <c r="X4" s="32"/>
      <c r="Y4" s="33"/>
      <c r="Z4" s="31"/>
      <c r="AA4" s="32"/>
      <c r="AB4" s="32"/>
      <c r="AC4" s="19"/>
    </row>
    <row r="5" spans="1:29" ht="15" customHeight="1" x14ac:dyDescent="0.25">
      <c r="H5" s="28"/>
      <c r="I5" s="28"/>
      <c r="J5" s="28"/>
      <c r="Q5" s="19"/>
      <c r="R5" s="31"/>
      <c r="S5" s="32"/>
      <c r="T5" s="32"/>
      <c r="U5" s="33"/>
      <c r="V5" s="31"/>
      <c r="W5" s="32"/>
      <c r="X5" s="32"/>
      <c r="Y5" s="33"/>
      <c r="Z5" s="31"/>
      <c r="AA5" s="32"/>
      <c r="AB5" s="32"/>
      <c r="AC5" s="19"/>
    </row>
    <row r="6" spans="1:29" ht="15" customHeight="1" x14ac:dyDescent="0.25">
      <c r="B6" s="5" t="s">
        <v>280</v>
      </c>
      <c r="C6" s="5" t="s">
        <v>15</v>
      </c>
      <c r="D6" s="5" t="s">
        <v>16</v>
      </c>
      <c r="E6" s="5" t="s">
        <v>20</v>
      </c>
      <c r="F6" s="5" t="s">
        <v>167</v>
      </c>
      <c r="G6" s="5" t="s">
        <v>17</v>
      </c>
      <c r="H6" s="6">
        <v>26.1691155198756</v>
      </c>
      <c r="I6" s="28">
        <f>AVERAGE(H6:H8)</f>
        <v>26.477494254309335</v>
      </c>
      <c r="J6" s="28">
        <f>_xlfn.STDEV.S(H6:H8)</f>
        <v>0.54900420953832663</v>
      </c>
      <c r="Q6" s="19"/>
      <c r="R6" s="31">
        <f>I6/I40</f>
        <v>1.1341315813045454</v>
      </c>
      <c r="S6" s="32">
        <f>I6-I40</f>
        <v>3.1314427989276332</v>
      </c>
      <c r="T6" s="32">
        <f t="shared" ref="T6:T30" si="0">POWER(2,S6)</f>
        <v>8.7631089693512028</v>
      </c>
      <c r="U6" s="33"/>
      <c r="V6" s="31">
        <f>I6/I74</f>
        <v>1.0669165711449884</v>
      </c>
      <c r="W6" s="32">
        <f>I6-I74</f>
        <v>1.6606576145949994</v>
      </c>
      <c r="X6" s="32">
        <f>POWER(2,W6)</f>
        <v>3.1616060540288049</v>
      </c>
      <c r="Y6" s="33"/>
      <c r="Z6" s="31">
        <f>I6/I108</f>
        <v>1.0139667484559827</v>
      </c>
      <c r="AA6" s="32">
        <f>I6-I108</f>
        <v>0.36471067967246995</v>
      </c>
      <c r="AB6" s="32">
        <f t="shared" ref="AB6" si="1">POWER(2,AA6)</f>
        <v>1.2876233816023488</v>
      </c>
      <c r="AC6" s="19"/>
    </row>
    <row r="7" spans="1:29" ht="15" customHeight="1" x14ac:dyDescent="0.25">
      <c r="B7" s="5" t="s">
        <v>281</v>
      </c>
      <c r="C7" s="5" t="s">
        <v>15</v>
      </c>
      <c r="D7" s="5" t="s">
        <v>16</v>
      </c>
      <c r="E7" s="5" t="s">
        <v>20</v>
      </c>
      <c r="F7" s="5" t="s">
        <v>167</v>
      </c>
      <c r="G7" s="5" t="s">
        <v>18</v>
      </c>
      <c r="H7" s="6">
        <v>26.152014423846602</v>
      </c>
      <c r="I7" s="28"/>
      <c r="J7" s="28"/>
      <c r="Q7" s="19"/>
      <c r="R7" s="31"/>
      <c r="S7" s="32"/>
      <c r="T7" s="32"/>
      <c r="U7" s="33"/>
      <c r="V7" s="31"/>
      <c r="W7" s="32"/>
      <c r="X7" s="32"/>
      <c r="Y7" s="33"/>
      <c r="Z7" s="31"/>
      <c r="AA7" s="32"/>
      <c r="AB7" s="32"/>
      <c r="AC7" s="19"/>
    </row>
    <row r="8" spans="1:29" ht="15" customHeight="1" x14ac:dyDescent="0.25">
      <c r="B8" s="5" t="s">
        <v>282</v>
      </c>
      <c r="C8" s="5" t="s">
        <v>15</v>
      </c>
      <c r="D8" s="5" t="s">
        <v>16</v>
      </c>
      <c r="E8" s="5" t="s">
        <v>20</v>
      </c>
      <c r="F8" s="5" t="s">
        <v>167</v>
      </c>
      <c r="G8" s="5" t="s">
        <v>19</v>
      </c>
      <c r="H8" s="6">
        <v>27.111352819205798</v>
      </c>
      <c r="I8" s="28"/>
      <c r="J8" s="28"/>
      <c r="Q8" s="19"/>
      <c r="R8" s="31"/>
      <c r="S8" s="32"/>
      <c r="T8" s="32"/>
      <c r="U8" s="33"/>
      <c r="V8" s="31"/>
      <c r="W8" s="32"/>
      <c r="X8" s="32"/>
      <c r="Y8" s="33"/>
      <c r="Z8" s="31"/>
      <c r="AA8" s="32"/>
      <c r="AB8" s="32"/>
      <c r="AC8" s="19"/>
    </row>
    <row r="9" spans="1:29" ht="15" customHeight="1" x14ac:dyDescent="0.25">
      <c r="H9" s="28"/>
      <c r="I9" s="28"/>
      <c r="J9" s="28"/>
      <c r="Q9" s="19"/>
      <c r="R9" s="31"/>
      <c r="S9" s="32"/>
      <c r="T9" s="32"/>
      <c r="U9" s="33"/>
      <c r="V9" s="31"/>
      <c r="W9" s="32"/>
      <c r="X9" s="32"/>
      <c r="Y9" s="33"/>
      <c r="Z9" s="31"/>
      <c r="AA9" s="32"/>
      <c r="AB9" s="32"/>
      <c r="AC9" s="19"/>
    </row>
    <row r="10" spans="1:29" ht="15" customHeight="1" x14ac:dyDescent="0.25">
      <c r="B10" s="5" t="s">
        <v>283</v>
      </c>
      <c r="C10" s="5" t="s">
        <v>15</v>
      </c>
      <c r="D10" s="5" t="s">
        <v>16</v>
      </c>
      <c r="E10" s="5" t="s">
        <v>20</v>
      </c>
      <c r="F10" s="5" t="s">
        <v>168</v>
      </c>
      <c r="G10" s="5" t="s">
        <v>17</v>
      </c>
      <c r="H10" s="6">
        <v>25.905161553335802</v>
      </c>
      <c r="I10" s="28">
        <f>AVERAGE(H10:H12)</f>
        <v>25.897285628551469</v>
      </c>
      <c r="J10" s="28">
        <f>_xlfn.STDEV.S(H10:H12)</f>
        <v>7.6450831692695412E-2</v>
      </c>
      <c r="Q10" s="19"/>
      <c r="R10" s="31">
        <f>I10/I44</f>
        <v>1.1291057315411124</v>
      </c>
      <c r="S10" s="32">
        <f>I10-I44</f>
        <v>2.9611823876225998</v>
      </c>
      <c r="T10" s="32">
        <f t="shared" si="0"/>
        <v>7.7876194533070038</v>
      </c>
      <c r="U10" s="33"/>
      <c r="V10" s="31">
        <f>I10/I78</f>
        <v>1.0577459673105507</v>
      </c>
      <c r="W10" s="32">
        <f>I10-I78</f>
        <v>1.4138213290859696</v>
      </c>
      <c r="X10" s="32">
        <f t="shared" ref="X10" si="2">POWER(2,W10)</f>
        <v>2.6644196540579017</v>
      </c>
      <c r="Y10" s="33"/>
      <c r="Z10" s="31">
        <f>I10/I112</f>
        <v>1.0150684997987911</v>
      </c>
      <c r="AA10" s="32">
        <f>I10-I112</f>
        <v>0.38444030463010037</v>
      </c>
      <c r="AB10" s="32">
        <f t="shared" ref="AB10" si="3">POWER(2,AA10)</f>
        <v>1.3053532753864658</v>
      </c>
      <c r="AC10" s="19"/>
    </row>
    <row r="11" spans="1:29" ht="15" customHeight="1" x14ac:dyDescent="0.25">
      <c r="B11" s="5" t="s">
        <v>284</v>
      </c>
      <c r="C11" s="5" t="s">
        <v>15</v>
      </c>
      <c r="D11" s="5" t="s">
        <v>16</v>
      </c>
      <c r="E11" s="5" t="s">
        <v>20</v>
      </c>
      <c r="F11" s="5" t="s">
        <v>168</v>
      </c>
      <c r="G11" s="5" t="s">
        <v>18</v>
      </c>
      <c r="H11" s="6">
        <v>25.817201707480599</v>
      </c>
      <c r="I11" s="28"/>
      <c r="J11" s="28"/>
      <c r="N11" s="8">
        <v>0</v>
      </c>
      <c r="O11" s="9">
        <v>60</v>
      </c>
      <c r="P11" s="5" t="s">
        <v>16</v>
      </c>
      <c r="Q11" s="19"/>
      <c r="R11" s="31"/>
      <c r="S11" s="32"/>
      <c r="T11" s="32"/>
      <c r="U11" s="33"/>
      <c r="V11" s="31"/>
      <c r="W11" s="32"/>
      <c r="X11" s="32"/>
      <c r="Y11" s="33"/>
      <c r="Z11" s="31"/>
      <c r="AA11" s="32"/>
      <c r="AB11" s="32"/>
      <c r="AC11" s="19"/>
    </row>
    <row r="12" spans="1:29" ht="15" customHeight="1" x14ac:dyDescent="0.25">
      <c r="B12" s="5" t="s">
        <v>285</v>
      </c>
      <c r="C12" s="5" t="s">
        <v>15</v>
      </c>
      <c r="D12" s="5" t="s">
        <v>16</v>
      </c>
      <c r="E12" s="5" t="s">
        <v>20</v>
      </c>
      <c r="F12" s="5" t="s">
        <v>168</v>
      </c>
      <c r="G12" s="5" t="s">
        <v>19</v>
      </c>
      <c r="H12" s="6">
        <v>25.969493624838002</v>
      </c>
      <c r="I12" s="28"/>
      <c r="J12" s="28"/>
      <c r="N12" s="8">
        <v>0</v>
      </c>
      <c r="O12" s="9">
        <v>60</v>
      </c>
      <c r="P12" s="5" t="s">
        <v>16</v>
      </c>
      <c r="Q12" s="19"/>
      <c r="R12" s="31"/>
      <c r="S12" s="32"/>
      <c r="T12" s="32"/>
      <c r="U12" s="33"/>
      <c r="V12" s="31"/>
      <c r="W12" s="32"/>
      <c r="X12" s="32"/>
      <c r="Y12" s="33"/>
      <c r="Z12" s="31"/>
      <c r="AA12" s="32"/>
      <c r="AB12" s="32"/>
      <c r="AC12" s="19"/>
    </row>
    <row r="13" spans="1:29" ht="15" customHeight="1" x14ac:dyDescent="0.25">
      <c r="H13" s="28"/>
      <c r="I13" s="28"/>
      <c r="J13" s="28"/>
      <c r="N13" s="8">
        <v>0</v>
      </c>
      <c r="O13" s="9">
        <v>60</v>
      </c>
      <c r="P13" s="5" t="s">
        <v>16</v>
      </c>
      <c r="Q13" s="19"/>
      <c r="R13" s="31"/>
      <c r="S13" s="32"/>
      <c r="T13" s="32"/>
      <c r="U13" s="33"/>
      <c r="V13" s="31"/>
      <c r="W13" s="32"/>
      <c r="X13" s="32"/>
      <c r="Y13" s="33"/>
      <c r="Z13" s="31"/>
      <c r="AA13" s="32"/>
      <c r="AB13" s="32"/>
      <c r="AC13" s="19"/>
    </row>
    <row r="14" spans="1:29" ht="15" customHeight="1" x14ac:dyDescent="0.25">
      <c r="B14" s="5" t="s">
        <v>286</v>
      </c>
      <c r="C14" s="5" t="s">
        <v>15</v>
      </c>
      <c r="D14" s="5" t="s">
        <v>16</v>
      </c>
      <c r="E14" s="5" t="s">
        <v>20</v>
      </c>
      <c r="F14" s="5" t="s">
        <v>169</v>
      </c>
      <c r="G14" s="5" t="s">
        <v>17</v>
      </c>
      <c r="H14" s="6">
        <v>24.4210702174943</v>
      </c>
      <c r="I14" s="28">
        <f>AVERAGE(H14:H16)</f>
        <v>24.458313685291433</v>
      </c>
      <c r="J14" s="28">
        <f>_xlfn.STDEV.S(H14:H16)</f>
        <v>8.55704569109174E-2</v>
      </c>
      <c r="N14" s="8">
        <v>0</v>
      </c>
      <c r="O14" s="9">
        <v>60</v>
      </c>
      <c r="P14" s="5" t="s">
        <v>16</v>
      </c>
      <c r="Q14" s="19"/>
      <c r="R14" s="31">
        <f>I14/I48</f>
        <v>1.1398653844659647</v>
      </c>
      <c r="S14" s="32">
        <f>I14-I48</f>
        <v>3.0011188106963687</v>
      </c>
      <c r="T14" s="32">
        <f t="shared" si="0"/>
        <v>8.00620641006409</v>
      </c>
      <c r="U14" s="33"/>
      <c r="V14" s="31">
        <f>I14/I82</f>
        <v>1.0514025090059029</v>
      </c>
      <c r="W14" s="32">
        <f>I14-I82</f>
        <v>1.1957539369637686</v>
      </c>
      <c r="X14" s="32">
        <f t="shared" ref="X14" si="4">POWER(2,W14)</f>
        <v>2.2906450750269975</v>
      </c>
      <c r="Y14" s="33"/>
      <c r="Z14" s="31">
        <f>I14/I116</f>
        <v>1.0188234254344366</v>
      </c>
      <c r="AA14" s="32">
        <f>I14-I116</f>
        <v>0.45188325318573064</v>
      </c>
      <c r="AB14" s="32">
        <f t="shared" ref="AB14" si="5">POWER(2,AA14)</f>
        <v>1.3678246113287027</v>
      </c>
      <c r="AC14" s="19"/>
    </row>
    <row r="15" spans="1:29" ht="15" customHeight="1" x14ac:dyDescent="0.25">
      <c r="B15" s="5" t="s">
        <v>287</v>
      </c>
      <c r="C15" s="5" t="s">
        <v>15</v>
      </c>
      <c r="D15" s="5" t="s">
        <v>16</v>
      </c>
      <c r="E15" s="5" t="s">
        <v>20</v>
      </c>
      <c r="F15" s="5" t="s">
        <v>169</v>
      </c>
      <c r="G15" s="5" t="s">
        <v>18</v>
      </c>
      <c r="H15" s="6">
        <v>24.3976763744331</v>
      </c>
      <c r="I15" s="28"/>
      <c r="J15" s="28"/>
      <c r="N15" s="8">
        <v>0</v>
      </c>
      <c r="O15" s="9">
        <v>60</v>
      </c>
      <c r="P15" s="5" t="s">
        <v>16</v>
      </c>
      <c r="Q15" s="19"/>
      <c r="R15" s="31"/>
      <c r="S15" s="32"/>
      <c r="T15" s="32"/>
      <c r="U15" s="33"/>
      <c r="V15" s="31"/>
      <c r="W15" s="32"/>
      <c r="X15" s="32"/>
      <c r="Y15" s="33"/>
      <c r="Z15" s="31"/>
      <c r="AA15" s="32"/>
      <c r="AB15" s="32"/>
      <c r="AC15" s="19"/>
    </row>
    <row r="16" spans="1:29" ht="15" customHeight="1" x14ac:dyDescent="0.25">
      <c r="B16" s="5" t="s">
        <v>288</v>
      </c>
      <c r="C16" s="5" t="s">
        <v>15</v>
      </c>
      <c r="D16" s="5" t="s">
        <v>16</v>
      </c>
      <c r="E16" s="5" t="s">
        <v>20</v>
      </c>
      <c r="F16" s="5" t="s">
        <v>169</v>
      </c>
      <c r="G16" s="5" t="s">
        <v>19</v>
      </c>
      <c r="H16" s="6">
        <v>24.556194463946898</v>
      </c>
      <c r="I16" s="28"/>
      <c r="J16" s="28"/>
      <c r="N16" s="8">
        <v>0</v>
      </c>
      <c r="O16" s="9">
        <v>60</v>
      </c>
      <c r="P16" s="5" t="s">
        <v>16</v>
      </c>
      <c r="Q16" s="19"/>
      <c r="R16" s="31"/>
      <c r="S16" s="32"/>
      <c r="T16" s="32"/>
      <c r="U16" s="33"/>
      <c r="V16" s="31"/>
      <c r="W16" s="32"/>
      <c r="X16" s="32"/>
      <c r="Y16" s="33"/>
      <c r="Z16" s="31"/>
      <c r="AA16" s="32"/>
      <c r="AB16" s="32"/>
      <c r="AC16" s="19"/>
    </row>
    <row r="17" spans="2:29" ht="15" customHeight="1" x14ac:dyDescent="0.25">
      <c r="H17" s="28"/>
      <c r="I17" s="28"/>
      <c r="J17" s="28"/>
      <c r="N17" s="8">
        <v>0</v>
      </c>
      <c r="O17" s="9">
        <v>60</v>
      </c>
      <c r="P17" s="5" t="s">
        <v>16</v>
      </c>
      <c r="Q17" s="19"/>
      <c r="R17" s="31"/>
      <c r="S17" s="32"/>
      <c r="T17" s="32"/>
      <c r="U17" s="33"/>
      <c r="V17" s="31"/>
      <c r="W17" s="32"/>
      <c r="X17" s="32"/>
      <c r="Y17" s="33"/>
      <c r="Z17" s="31"/>
      <c r="AA17" s="32"/>
      <c r="AB17" s="32"/>
      <c r="AC17" s="19"/>
    </row>
    <row r="18" spans="2:29" ht="15" customHeight="1" x14ac:dyDescent="0.25">
      <c r="B18" s="5" t="s">
        <v>289</v>
      </c>
      <c r="C18" s="5" t="s">
        <v>15</v>
      </c>
      <c r="D18" s="5" t="s">
        <v>16</v>
      </c>
      <c r="E18" s="5" t="s">
        <v>20</v>
      </c>
      <c r="F18" s="5" t="s">
        <v>170</v>
      </c>
      <c r="G18" s="5" t="s">
        <v>17</v>
      </c>
      <c r="H18" s="6">
        <v>23.524936772773</v>
      </c>
      <c r="I18" s="28">
        <f>AVERAGE(H18:H20)</f>
        <v>23.526034096370534</v>
      </c>
      <c r="J18" s="28">
        <f>_xlfn.STDEV.S(H18:H20)</f>
        <v>4.5492305168305026E-2</v>
      </c>
      <c r="Q18" s="19"/>
      <c r="R18" s="31">
        <f>I18/I52</f>
        <v>1.1512340148318723</v>
      </c>
      <c r="S18" s="32">
        <f>I18-I52</f>
        <v>3.0905415785384349</v>
      </c>
      <c r="T18" s="32">
        <f t="shared" si="0"/>
        <v>8.5181585220187461</v>
      </c>
      <c r="U18" s="33"/>
      <c r="V18" s="31">
        <f>I18/I86</f>
        <v>1.0614507004047942</v>
      </c>
      <c r="W18" s="32">
        <f>I18-I86</f>
        <v>1.3619956842251</v>
      </c>
      <c r="X18" s="32">
        <f t="shared" ref="X18" si="6">POWER(2,W18)</f>
        <v>2.5704049856450295</v>
      </c>
      <c r="Y18" s="33"/>
      <c r="Z18" s="31">
        <f>I18/I120</f>
        <v>1.1042368994694074</v>
      </c>
      <c r="AA18" s="32">
        <f>I18-I120</f>
        <v>2.2207923428347343</v>
      </c>
      <c r="AB18" s="32">
        <f t="shared" ref="AB18" si="7">POWER(2,AA18)</f>
        <v>4.661493782916847</v>
      </c>
      <c r="AC18" s="19"/>
    </row>
    <row r="19" spans="2:29" ht="15" customHeight="1" x14ac:dyDescent="0.25">
      <c r="B19" s="5" t="s">
        <v>290</v>
      </c>
      <c r="C19" s="5" t="s">
        <v>15</v>
      </c>
      <c r="D19" s="5" t="s">
        <v>16</v>
      </c>
      <c r="E19" s="5" t="s">
        <v>20</v>
      </c>
      <c r="F19" s="5" t="s">
        <v>170</v>
      </c>
      <c r="G19" s="5" t="s">
        <v>18</v>
      </c>
      <c r="H19" s="6">
        <v>23.481100379821001</v>
      </c>
      <c r="I19" s="28"/>
      <c r="J19" s="28"/>
      <c r="Q19" s="19"/>
      <c r="R19" s="31"/>
      <c r="S19" s="32"/>
      <c r="T19" s="32"/>
      <c r="U19" s="33"/>
      <c r="V19" s="31"/>
      <c r="W19" s="32"/>
      <c r="X19" s="32"/>
      <c r="Y19" s="33"/>
      <c r="Z19" s="31"/>
      <c r="AA19" s="32"/>
      <c r="AB19" s="32"/>
      <c r="AC19" s="19"/>
    </row>
    <row r="20" spans="2:29" ht="15" customHeight="1" x14ac:dyDescent="0.25">
      <c r="B20" s="5" t="s">
        <v>291</v>
      </c>
      <c r="C20" s="5" t="s">
        <v>15</v>
      </c>
      <c r="D20" s="5" t="s">
        <v>16</v>
      </c>
      <c r="E20" s="5" t="s">
        <v>20</v>
      </c>
      <c r="F20" s="5" t="s">
        <v>170</v>
      </c>
      <c r="G20" s="5" t="s">
        <v>19</v>
      </c>
      <c r="H20" s="6">
        <v>23.572065136517601</v>
      </c>
      <c r="I20" s="28"/>
      <c r="J20" s="28"/>
      <c r="Q20" s="19"/>
      <c r="R20" s="31"/>
      <c r="S20" s="32"/>
      <c r="T20" s="32"/>
      <c r="U20" s="33"/>
      <c r="V20" s="31"/>
      <c r="W20" s="32"/>
      <c r="X20" s="32"/>
      <c r="Y20" s="33"/>
      <c r="Z20" s="31"/>
      <c r="AA20" s="32"/>
      <c r="AB20" s="32"/>
      <c r="AC20" s="19"/>
    </row>
    <row r="21" spans="2:29" ht="15" customHeight="1" x14ac:dyDescent="0.25">
      <c r="H21" s="28"/>
      <c r="I21" s="28"/>
      <c r="J21" s="28"/>
      <c r="N21" s="8">
        <v>0</v>
      </c>
      <c r="O21" s="9">
        <v>60</v>
      </c>
      <c r="P21" s="5" t="s">
        <v>16</v>
      </c>
      <c r="Q21" s="19"/>
      <c r="R21" s="31"/>
      <c r="S21" s="32"/>
      <c r="T21" s="32"/>
      <c r="U21" s="33"/>
      <c r="V21" s="31"/>
      <c r="W21" s="32"/>
      <c r="X21" s="32"/>
      <c r="Y21" s="33"/>
      <c r="Z21" s="31"/>
      <c r="AA21" s="32"/>
      <c r="AB21" s="32"/>
      <c r="AC21" s="19"/>
    </row>
    <row r="22" spans="2:29" ht="15" customHeight="1" x14ac:dyDescent="0.25">
      <c r="B22" s="5" t="s">
        <v>292</v>
      </c>
      <c r="C22" s="5" t="s">
        <v>15</v>
      </c>
      <c r="D22" s="5" t="s">
        <v>16</v>
      </c>
      <c r="E22" s="5" t="s">
        <v>20</v>
      </c>
      <c r="F22" s="5" t="s">
        <v>171</v>
      </c>
      <c r="G22" s="5" t="s">
        <v>17</v>
      </c>
      <c r="H22" s="6">
        <v>24.901183055676199</v>
      </c>
      <c r="I22" s="28">
        <f>AVERAGE(H22:H24)</f>
        <v>24.859648086756099</v>
      </c>
      <c r="J22" s="28">
        <f>_xlfn.STDEV.S(H22:H24)</f>
        <v>0.14237726913241369</v>
      </c>
      <c r="Q22" s="19"/>
      <c r="R22" s="31">
        <f>I22/I56</f>
        <v>1.1292480131440983</v>
      </c>
      <c r="S22" s="32">
        <f>I22-I56</f>
        <v>2.8453095203849657</v>
      </c>
      <c r="T22" s="32">
        <f t="shared" si="0"/>
        <v>7.1866006538613076</v>
      </c>
      <c r="U22" s="33"/>
      <c r="V22" s="31">
        <f>I22/I90</f>
        <v>1.0388611486912451</v>
      </c>
      <c r="W22" s="32">
        <f>I22-I90</f>
        <v>0.92993609581849768</v>
      </c>
      <c r="X22" s="32">
        <f t="shared" ref="X22" si="8">POWER(2,W22)</f>
        <v>1.905191603750559</v>
      </c>
      <c r="Y22" s="33"/>
      <c r="Z22" s="31">
        <f>I22/I124</f>
        <v>1.0112837605657914</v>
      </c>
      <c r="AA22" s="32">
        <f>I22-I124</f>
        <v>0.27738042248779848</v>
      </c>
      <c r="AB22" s="32">
        <f t="shared" ref="AB22" si="9">POWER(2,AA22)</f>
        <v>1.2119922070381532</v>
      </c>
      <c r="AC22" s="19"/>
    </row>
    <row r="23" spans="2:29" ht="15" customHeight="1" x14ac:dyDescent="0.25">
      <c r="B23" s="5" t="s">
        <v>293</v>
      </c>
      <c r="C23" s="5" t="s">
        <v>15</v>
      </c>
      <c r="D23" s="5" t="s">
        <v>16</v>
      </c>
      <c r="E23" s="5" t="s">
        <v>20</v>
      </c>
      <c r="F23" s="5" t="s">
        <v>171</v>
      </c>
      <c r="G23" s="5" t="s">
        <v>18</v>
      </c>
      <c r="H23" s="6">
        <v>24.701122039828199</v>
      </c>
      <c r="I23" s="28"/>
      <c r="J23" s="28"/>
      <c r="Q23" s="19"/>
      <c r="R23" s="31"/>
      <c r="S23" s="32"/>
      <c r="T23" s="32"/>
      <c r="U23" s="33"/>
      <c r="V23" s="31"/>
      <c r="W23" s="32"/>
      <c r="X23" s="32"/>
      <c r="Y23" s="33"/>
      <c r="Z23" s="31"/>
      <c r="AA23" s="32"/>
      <c r="AB23" s="32"/>
      <c r="AC23" s="19"/>
    </row>
    <row r="24" spans="2:29" ht="15" customHeight="1" x14ac:dyDescent="0.25">
      <c r="B24" s="5" t="s">
        <v>294</v>
      </c>
      <c r="C24" s="5" t="s">
        <v>15</v>
      </c>
      <c r="D24" s="5" t="s">
        <v>16</v>
      </c>
      <c r="E24" s="5" t="s">
        <v>20</v>
      </c>
      <c r="F24" s="5" t="s">
        <v>171</v>
      </c>
      <c r="G24" s="5" t="s">
        <v>19</v>
      </c>
      <c r="H24" s="6">
        <v>24.976639164763899</v>
      </c>
      <c r="I24" s="28"/>
      <c r="J24" s="28"/>
      <c r="Q24" s="19"/>
      <c r="R24" s="31"/>
      <c r="S24" s="32"/>
      <c r="T24" s="32"/>
      <c r="U24" s="33"/>
      <c r="V24" s="31"/>
      <c r="W24" s="32"/>
      <c r="X24" s="32"/>
      <c r="Y24" s="33"/>
      <c r="Z24" s="31"/>
      <c r="AA24" s="32"/>
      <c r="AB24" s="32"/>
      <c r="AC24" s="19"/>
    </row>
    <row r="25" spans="2:29" ht="15" customHeight="1" x14ac:dyDescent="0.25">
      <c r="H25" s="28"/>
      <c r="I25" s="28"/>
      <c r="J25" s="28"/>
      <c r="Q25" s="19"/>
      <c r="R25" s="31"/>
      <c r="S25" s="32"/>
      <c r="T25" s="32"/>
      <c r="U25" s="33"/>
      <c r="V25" s="31"/>
      <c r="W25" s="32"/>
      <c r="X25" s="32"/>
      <c r="Y25" s="33"/>
      <c r="Z25" s="31"/>
      <c r="AA25" s="32"/>
      <c r="AB25" s="32"/>
      <c r="AC25" s="19"/>
    </row>
    <row r="26" spans="2:29" ht="15" customHeight="1" x14ac:dyDescent="0.25">
      <c r="B26" s="5" t="s">
        <v>295</v>
      </c>
      <c r="C26" s="5" t="s">
        <v>15</v>
      </c>
      <c r="D26" s="5" t="s">
        <v>16</v>
      </c>
      <c r="E26" s="5" t="s">
        <v>20</v>
      </c>
      <c r="F26" s="5" t="s">
        <v>172</v>
      </c>
      <c r="G26" s="5" t="s">
        <v>17</v>
      </c>
      <c r="H26" s="6">
        <v>24.761009298152398</v>
      </c>
      <c r="I26" s="28">
        <f>AVERAGE(H26:H28)</f>
        <v>24.834092110399933</v>
      </c>
      <c r="J26" s="28">
        <f>_xlfn.STDEV.S(H26:H28)</f>
        <v>6.4925895682676107E-2</v>
      </c>
      <c r="N26" s="8">
        <v>0</v>
      </c>
      <c r="O26" s="9">
        <v>60</v>
      </c>
      <c r="P26" s="5" t="s">
        <v>16</v>
      </c>
      <c r="Q26" s="19"/>
      <c r="R26" s="31">
        <f>I26/I60</f>
        <v>1.1646408710162286</v>
      </c>
      <c r="S26" s="32">
        <f>I26-I60</f>
        <v>3.5107015885384669</v>
      </c>
      <c r="T26" s="32">
        <f t="shared" si="0"/>
        <v>11.397943083886615</v>
      </c>
      <c r="U26" s="33"/>
      <c r="V26" s="31">
        <f>I26/I94</f>
        <v>1.0570030684324954</v>
      </c>
      <c r="W26" s="32">
        <f>I26-I94</f>
        <v>1.3392765776236999</v>
      </c>
      <c r="X26" s="32">
        <f t="shared" ref="X26" si="10">POWER(2,W26)</f>
        <v>2.5302441087826848</v>
      </c>
      <c r="Y26" s="33"/>
      <c r="Z26" s="31">
        <f>I26/I128</f>
        <v>1.0353438106562098</v>
      </c>
      <c r="AA26" s="32">
        <f>I26-I128</f>
        <v>0.84776809436136702</v>
      </c>
      <c r="AB26" s="32">
        <f>POWER(2,AA26)</f>
        <v>1.79971454168917</v>
      </c>
      <c r="AC26" s="19"/>
    </row>
    <row r="27" spans="2:29" ht="15" customHeight="1" x14ac:dyDescent="0.25">
      <c r="B27" s="5" t="s">
        <v>296</v>
      </c>
      <c r="C27" s="5" t="s">
        <v>15</v>
      </c>
      <c r="D27" s="5" t="s">
        <v>16</v>
      </c>
      <c r="E27" s="5" t="s">
        <v>20</v>
      </c>
      <c r="F27" s="5" t="s">
        <v>172</v>
      </c>
      <c r="G27" s="5" t="s">
        <v>18</v>
      </c>
      <c r="H27" s="6">
        <v>24.856157714449498</v>
      </c>
      <c r="I27" s="28"/>
      <c r="J27" s="28"/>
      <c r="N27" s="8">
        <v>0</v>
      </c>
      <c r="O27" s="9">
        <v>60</v>
      </c>
      <c r="P27" s="5" t="s">
        <v>16</v>
      </c>
      <c r="Q27" s="19"/>
      <c r="R27" s="31"/>
      <c r="S27" s="32"/>
      <c r="T27" s="32"/>
      <c r="U27" s="33"/>
      <c r="V27" s="31"/>
      <c r="W27" s="32"/>
      <c r="X27" s="32"/>
      <c r="Y27" s="33"/>
      <c r="Z27" s="31"/>
      <c r="AA27" s="32"/>
      <c r="AB27" s="32"/>
      <c r="AC27" s="19"/>
    </row>
    <row r="28" spans="2:29" ht="15" customHeight="1" x14ac:dyDescent="0.25">
      <c r="B28" s="5" t="s">
        <v>297</v>
      </c>
      <c r="C28" s="5" t="s">
        <v>15</v>
      </c>
      <c r="D28" s="5" t="s">
        <v>16</v>
      </c>
      <c r="E28" s="5" t="s">
        <v>20</v>
      </c>
      <c r="F28" s="5" t="s">
        <v>172</v>
      </c>
      <c r="G28" s="5" t="s">
        <v>19</v>
      </c>
      <c r="H28" s="6">
        <v>24.885109318597902</v>
      </c>
      <c r="I28" s="28"/>
      <c r="J28" s="28"/>
      <c r="N28" s="8">
        <v>0</v>
      </c>
      <c r="O28" s="9">
        <v>60</v>
      </c>
      <c r="P28" s="5" t="s">
        <v>16</v>
      </c>
      <c r="Q28" s="19"/>
      <c r="R28" s="31"/>
      <c r="S28" s="32"/>
      <c r="T28" s="32"/>
      <c r="U28" s="33"/>
      <c r="V28" s="31"/>
      <c r="W28" s="32"/>
      <c r="X28" s="32"/>
      <c r="Y28" s="33"/>
      <c r="Z28" s="31"/>
      <c r="AA28" s="32"/>
      <c r="AB28" s="32"/>
      <c r="AC28" s="19"/>
    </row>
    <row r="29" spans="2:29" ht="15" customHeight="1" x14ac:dyDescent="0.25">
      <c r="H29" s="28"/>
      <c r="I29" s="28"/>
      <c r="J29" s="28"/>
      <c r="N29" s="8">
        <v>0</v>
      </c>
      <c r="O29" s="9">
        <v>60</v>
      </c>
      <c r="P29" s="5" t="s">
        <v>16</v>
      </c>
      <c r="Q29" s="19"/>
      <c r="R29" s="31"/>
      <c r="S29" s="32"/>
      <c r="T29" s="32"/>
      <c r="U29" s="33"/>
      <c r="V29" s="31"/>
      <c r="W29" s="32"/>
      <c r="X29" s="32"/>
      <c r="Y29" s="33"/>
      <c r="Z29" s="31"/>
      <c r="AA29" s="32"/>
      <c r="AB29" s="32"/>
      <c r="AC29" s="19"/>
    </row>
    <row r="30" spans="2:29" ht="15" customHeight="1" x14ac:dyDescent="0.25">
      <c r="B30" s="5" t="s">
        <v>298</v>
      </c>
      <c r="C30" s="5" t="s">
        <v>15</v>
      </c>
      <c r="D30" s="5" t="s">
        <v>16</v>
      </c>
      <c r="E30" s="5" t="s">
        <v>20</v>
      </c>
      <c r="F30" s="5" t="s">
        <v>173</v>
      </c>
      <c r="G30" s="5" t="s">
        <v>17</v>
      </c>
      <c r="H30" s="6">
        <v>25.439817372406601</v>
      </c>
      <c r="I30" s="28">
        <f>AVERAGE(H30:H32)</f>
        <v>25.50092232643517</v>
      </c>
      <c r="J30" s="28">
        <f>_xlfn.STDEV.S(H30:H32)</f>
        <v>6.1164485958472806E-2</v>
      </c>
      <c r="N30" s="8">
        <v>0</v>
      </c>
      <c r="O30" s="9">
        <v>60</v>
      </c>
      <c r="P30" s="5" t="s">
        <v>16</v>
      </c>
      <c r="Q30" s="19"/>
      <c r="R30" s="31">
        <f>I30/I64</f>
        <v>1.1529854732724418</v>
      </c>
      <c r="S30" s="32">
        <f>I30-I64</f>
        <v>3.3836251725884665</v>
      </c>
      <c r="T30" s="32">
        <f t="shared" si="0"/>
        <v>10.436927605184545</v>
      </c>
      <c r="U30" s="33"/>
      <c r="V30" s="31">
        <f>I30/I98</f>
        <v>1.0751047457989011</v>
      </c>
      <c r="W30" s="32">
        <f>I30-I98</f>
        <v>1.781445293073503</v>
      </c>
      <c r="X30" s="32">
        <f>POWER(2,W30)</f>
        <v>3.4377039158770493</v>
      </c>
      <c r="Y30" s="33"/>
      <c r="Z30" s="31">
        <f>I30/I132</f>
        <v>1.1020786520201722</v>
      </c>
      <c r="AA30" s="32">
        <f>I30-I132</f>
        <v>2.3619909264933021</v>
      </c>
      <c r="AB30" s="32">
        <f>POWER(2,AA30)</f>
        <v>5.1407930179118022</v>
      </c>
      <c r="AC30" s="19"/>
    </row>
    <row r="31" spans="2:29" ht="15" customHeight="1" x14ac:dyDescent="0.25">
      <c r="B31" s="5" t="s">
        <v>299</v>
      </c>
      <c r="C31" s="5" t="s">
        <v>15</v>
      </c>
      <c r="D31" s="5" t="s">
        <v>16</v>
      </c>
      <c r="E31" s="5" t="s">
        <v>20</v>
      </c>
      <c r="F31" s="5" t="s">
        <v>173</v>
      </c>
      <c r="G31" s="5" t="s">
        <v>18</v>
      </c>
      <c r="H31" s="6">
        <v>25.5008034358986</v>
      </c>
      <c r="I31" s="28"/>
      <c r="J31" s="28"/>
      <c r="N31" s="8">
        <v>0</v>
      </c>
      <c r="O31" s="9">
        <v>60</v>
      </c>
      <c r="P31" s="5" t="s">
        <v>16</v>
      </c>
      <c r="Q31" s="19"/>
      <c r="R31" s="23"/>
      <c r="S31" s="24"/>
      <c r="T31" s="24"/>
      <c r="U31" s="25"/>
      <c r="V31" s="23"/>
      <c r="W31" s="24"/>
      <c r="X31" s="24"/>
      <c r="Y31" s="25"/>
      <c r="Z31" s="23"/>
      <c r="AA31" s="24"/>
      <c r="AB31" s="24"/>
      <c r="AC31" s="19"/>
    </row>
    <row r="32" spans="2:29" ht="15" customHeight="1" x14ac:dyDescent="0.25">
      <c r="B32" s="5" t="s">
        <v>300</v>
      </c>
      <c r="C32" s="5" t="s">
        <v>15</v>
      </c>
      <c r="D32" s="5" t="s">
        <v>16</v>
      </c>
      <c r="E32" s="5" t="s">
        <v>20</v>
      </c>
      <c r="F32" s="5" t="s">
        <v>173</v>
      </c>
      <c r="G32" s="5" t="s">
        <v>19</v>
      </c>
      <c r="H32" s="6">
        <v>25.5621461710003</v>
      </c>
      <c r="I32" s="28"/>
      <c r="J32" s="28"/>
      <c r="N32" s="8">
        <v>0</v>
      </c>
      <c r="O32" s="9">
        <v>60</v>
      </c>
      <c r="P32" s="5" t="s">
        <v>16</v>
      </c>
      <c r="Q32" s="19"/>
      <c r="R32" s="23"/>
      <c r="S32" s="24"/>
      <c r="T32" s="24"/>
      <c r="U32" s="25"/>
      <c r="V32" s="23"/>
      <c r="W32" s="24"/>
      <c r="X32" s="24"/>
      <c r="Y32" s="25"/>
      <c r="Z32" s="23"/>
      <c r="AA32" s="24"/>
      <c r="AB32" s="24"/>
      <c r="AC32" s="19"/>
    </row>
    <row r="33" spans="2:29" ht="15" customHeight="1" x14ac:dyDescent="0.25">
      <c r="B33" s="11"/>
      <c r="C33" s="11"/>
      <c r="D33" s="11"/>
      <c r="E33" s="11"/>
      <c r="F33" s="11"/>
      <c r="G33" s="11"/>
      <c r="H33" s="29"/>
      <c r="I33" s="29"/>
      <c r="J33" s="29"/>
      <c r="K33" s="13"/>
      <c r="L33" s="12"/>
      <c r="M33" s="13"/>
      <c r="N33" s="13">
        <v>0</v>
      </c>
      <c r="O33" s="14">
        <v>60</v>
      </c>
      <c r="P33" s="11" t="s">
        <v>16</v>
      </c>
      <c r="Q33" s="20"/>
      <c r="R33" s="26"/>
      <c r="S33" s="24"/>
      <c r="T33" s="24"/>
      <c r="U33" s="27"/>
      <c r="V33" s="26"/>
      <c r="W33" s="24"/>
      <c r="X33" s="24"/>
      <c r="Y33" s="27"/>
      <c r="Z33" s="26"/>
      <c r="AA33" s="24"/>
      <c r="AB33" s="24"/>
      <c r="AC33" s="20"/>
    </row>
    <row r="34" spans="2:29" ht="15" customHeight="1" x14ac:dyDescent="0.2">
      <c r="B34" s="21"/>
      <c r="C34" s="21"/>
      <c r="D34" s="21"/>
      <c r="E34" s="21"/>
      <c r="F34" s="21"/>
      <c r="G34" s="21"/>
      <c r="H34" s="30"/>
      <c r="I34" s="30"/>
      <c r="J34" s="30"/>
      <c r="K34" s="21"/>
      <c r="L34" s="21"/>
      <c r="M34" s="21"/>
      <c r="N34" s="21">
        <v>0</v>
      </c>
      <c r="O34" s="21">
        <v>60</v>
      </c>
      <c r="P34" s="21" t="s">
        <v>16</v>
      </c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2:29" ht="15" customHeight="1" x14ac:dyDescent="0.2">
      <c r="B35" s="10"/>
      <c r="C35" s="10"/>
      <c r="D35" s="10"/>
      <c r="E35" s="10"/>
      <c r="F35" s="10"/>
      <c r="G35" s="10"/>
      <c r="H35" s="28"/>
      <c r="I35" s="28"/>
      <c r="J35" s="28"/>
      <c r="K35" s="10"/>
      <c r="L35" s="10"/>
      <c r="M35" s="10"/>
      <c r="N35" s="10"/>
      <c r="O35" s="10"/>
      <c r="P35" s="10"/>
      <c r="Q35" s="19"/>
      <c r="R35" s="17"/>
      <c r="U35" s="19"/>
      <c r="V35" s="17"/>
      <c r="Y35" s="19"/>
      <c r="Z35" s="17"/>
      <c r="AC35" s="19"/>
    </row>
    <row r="36" spans="2:29" ht="15" customHeight="1" x14ac:dyDescent="0.2">
      <c r="B36" s="5" t="s">
        <v>271</v>
      </c>
      <c r="C36" s="5" t="s">
        <v>15</v>
      </c>
      <c r="D36" s="5" t="s">
        <v>16</v>
      </c>
      <c r="E36" s="5" t="s">
        <v>20</v>
      </c>
      <c r="F36" s="5" t="s">
        <v>174</v>
      </c>
      <c r="G36" s="5" t="s">
        <v>17</v>
      </c>
      <c r="H36" s="6">
        <v>22.881701300731599</v>
      </c>
      <c r="I36" s="28">
        <f>AVERAGE(H36:H38)</f>
        <v>22.783998398061399</v>
      </c>
      <c r="J36" s="28">
        <f>_xlfn.STDEV.S(H36:H38)</f>
        <v>0.10761179063148198</v>
      </c>
      <c r="N36" s="8">
        <v>0</v>
      </c>
      <c r="O36" s="9">
        <v>60</v>
      </c>
      <c r="P36" s="5" t="s">
        <v>16</v>
      </c>
      <c r="Q36" s="19"/>
      <c r="R36" s="17"/>
      <c r="U36" s="19"/>
      <c r="V36" s="17"/>
      <c r="Y36" s="19"/>
      <c r="Z36" s="17"/>
      <c r="AC36" s="19"/>
    </row>
    <row r="37" spans="2:29" ht="15" customHeight="1" x14ac:dyDescent="0.2">
      <c r="B37" s="5" t="s">
        <v>272</v>
      </c>
      <c r="C37" s="5" t="s">
        <v>15</v>
      </c>
      <c r="D37" s="5" t="s">
        <v>16</v>
      </c>
      <c r="E37" s="5" t="s">
        <v>20</v>
      </c>
      <c r="F37" s="5" t="s">
        <v>174</v>
      </c>
      <c r="G37" s="5" t="s">
        <v>18</v>
      </c>
      <c r="H37" s="6">
        <v>22.668657063358399</v>
      </c>
      <c r="I37" s="28"/>
      <c r="J37" s="28"/>
      <c r="Q37" s="19"/>
      <c r="R37" s="17"/>
      <c r="U37" s="19"/>
      <c r="V37" s="17"/>
      <c r="Y37" s="19"/>
      <c r="Z37" s="17"/>
      <c r="AC37" s="19"/>
    </row>
    <row r="38" spans="2:29" ht="15" customHeight="1" x14ac:dyDescent="0.2">
      <c r="B38" s="5" t="s">
        <v>273</v>
      </c>
      <c r="C38" s="5" t="s">
        <v>15</v>
      </c>
      <c r="D38" s="5" t="s">
        <v>16</v>
      </c>
      <c r="E38" s="5" t="s">
        <v>20</v>
      </c>
      <c r="F38" s="5" t="s">
        <v>174</v>
      </c>
      <c r="G38" s="5" t="s">
        <v>19</v>
      </c>
      <c r="H38" s="6">
        <v>22.8016368300942</v>
      </c>
      <c r="I38" s="28"/>
      <c r="J38" s="28"/>
      <c r="Q38" s="19"/>
      <c r="R38" s="17"/>
      <c r="U38" s="19"/>
      <c r="V38" s="17"/>
      <c r="Y38" s="19"/>
      <c r="Z38" s="17"/>
      <c r="AC38" s="19"/>
    </row>
    <row r="39" spans="2:29" ht="15" customHeight="1" x14ac:dyDescent="0.2">
      <c r="H39" s="28"/>
      <c r="I39" s="28"/>
      <c r="J39" s="28"/>
      <c r="N39" s="8">
        <v>0</v>
      </c>
      <c r="O39" s="9">
        <v>60</v>
      </c>
      <c r="P39" s="5" t="s">
        <v>16</v>
      </c>
      <c r="Q39" s="19"/>
      <c r="R39" s="17"/>
      <c r="U39" s="19"/>
      <c r="V39" s="17"/>
      <c r="Y39" s="19"/>
      <c r="Z39" s="17"/>
      <c r="AC39" s="19"/>
    </row>
    <row r="40" spans="2:29" ht="15" customHeight="1" x14ac:dyDescent="0.2">
      <c r="B40" s="5" t="s">
        <v>277</v>
      </c>
      <c r="C40" s="5" t="s">
        <v>15</v>
      </c>
      <c r="D40" s="5" t="s">
        <v>16</v>
      </c>
      <c r="E40" s="5" t="s">
        <v>20</v>
      </c>
      <c r="F40" s="5" t="s">
        <v>175</v>
      </c>
      <c r="G40" s="5" t="s">
        <v>17</v>
      </c>
      <c r="H40" s="6">
        <v>23.505909753945399</v>
      </c>
      <c r="I40" s="28">
        <f>AVERAGE(H40:H42)</f>
        <v>23.346051455381701</v>
      </c>
      <c r="J40" s="28">
        <f>_xlfn.STDEV.S(H40:H42)</f>
        <v>0.16609994924271179</v>
      </c>
      <c r="N40" s="8">
        <v>0</v>
      </c>
      <c r="O40" s="9">
        <v>60</v>
      </c>
      <c r="P40" s="5" t="s">
        <v>16</v>
      </c>
      <c r="Q40" s="19"/>
      <c r="R40" s="17"/>
      <c r="U40" s="19"/>
      <c r="V40" s="17"/>
      <c r="Y40" s="19"/>
      <c r="Z40" s="17"/>
      <c r="AC40" s="19"/>
    </row>
    <row r="41" spans="2:29" ht="15" customHeight="1" x14ac:dyDescent="0.2">
      <c r="B41" s="5" t="s">
        <v>278</v>
      </c>
      <c r="C41" s="5" t="s">
        <v>15</v>
      </c>
      <c r="D41" s="5" t="s">
        <v>16</v>
      </c>
      <c r="E41" s="5" t="s">
        <v>20</v>
      </c>
      <c r="F41" s="5" t="s">
        <v>175</v>
      </c>
      <c r="G41" s="5" t="s">
        <v>18</v>
      </c>
      <c r="H41" s="6">
        <v>23.357900225141801</v>
      </c>
      <c r="I41" s="28"/>
      <c r="J41" s="28"/>
      <c r="N41" s="8">
        <v>0</v>
      </c>
      <c r="O41" s="9">
        <v>60</v>
      </c>
      <c r="P41" s="5" t="s">
        <v>16</v>
      </c>
      <c r="Q41" s="19"/>
      <c r="R41" s="17"/>
      <c r="U41" s="19"/>
      <c r="V41" s="17"/>
      <c r="Y41" s="19"/>
      <c r="Z41" s="17"/>
      <c r="AC41" s="19"/>
    </row>
    <row r="42" spans="2:29" ht="15" customHeight="1" x14ac:dyDescent="0.2">
      <c r="B42" s="5" t="s">
        <v>279</v>
      </c>
      <c r="C42" s="5" t="s">
        <v>15</v>
      </c>
      <c r="D42" s="5" t="s">
        <v>16</v>
      </c>
      <c r="E42" s="5" t="s">
        <v>20</v>
      </c>
      <c r="F42" s="5" t="s">
        <v>175</v>
      </c>
      <c r="G42" s="5" t="s">
        <v>19</v>
      </c>
      <c r="H42" s="6">
        <v>23.1743443870579</v>
      </c>
      <c r="I42" s="28"/>
      <c r="J42" s="28"/>
      <c r="N42" s="8">
        <v>0</v>
      </c>
      <c r="O42" s="9">
        <v>60</v>
      </c>
      <c r="P42" s="5" t="s">
        <v>16</v>
      </c>
      <c r="Q42" s="19"/>
      <c r="R42" s="17"/>
      <c r="U42" s="19"/>
      <c r="V42" s="17"/>
      <c r="Y42" s="19"/>
      <c r="Z42" s="17"/>
      <c r="AC42" s="19"/>
    </row>
    <row r="43" spans="2:29" ht="15" customHeight="1" x14ac:dyDescent="0.2">
      <c r="H43" s="28"/>
      <c r="I43" s="28"/>
      <c r="J43" s="28"/>
      <c r="N43" s="8">
        <v>0</v>
      </c>
      <c r="O43" s="9">
        <v>60</v>
      </c>
      <c r="P43" s="5" t="s">
        <v>16</v>
      </c>
      <c r="Q43" s="19"/>
      <c r="R43" s="17"/>
      <c r="U43" s="19"/>
      <c r="V43" s="17"/>
      <c r="Y43" s="19"/>
      <c r="Z43" s="17"/>
      <c r="AC43" s="19"/>
    </row>
    <row r="44" spans="2:29" ht="15" customHeight="1" x14ac:dyDescent="0.2">
      <c r="B44" s="5" t="s">
        <v>21</v>
      </c>
      <c r="C44" s="5" t="s">
        <v>15</v>
      </c>
      <c r="D44" s="5" t="s">
        <v>16</v>
      </c>
      <c r="E44" s="5" t="s">
        <v>20</v>
      </c>
      <c r="F44" s="5" t="s">
        <v>176</v>
      </c>
      <c r="G44" s="5" t="s">
        <v>17</v>
      </c>
      <c r="H44" s="6">
        <v>22.961289623837299</v>
      </c>
      <c r="I44" s="28">
        <f>AVERAGE(H44:H46)</f>
        <v>22.936103240928869</v>
      </c>
      <c r="J44" s="28">
        <f>_xlfn.STDEV.S(H44:H46)</f>
        <v>2.286538580474996E-2</v>
      </c>
      <c r="N44" s="8">
        <v>0</v>
      </c>
      <c r="O44" s="9">
        <v>60</v>
      </c>
      <c r="P44" s="5" t="s">
        <v>16</v>
      </c>
      <c r="Q44" s="19"/>
      <c r="R44" s="17"/>
      <c r="U44" s="19"/>
      <c r="V44" s="17"/>
      <c r="Y44" s="19"/>
      <c r="Z44" s="17"/>
      <c r="AC44" s="19"/>
    </row>
    <row r="45" spans="2:29" ht="15" customHeight="1" x14ac:dyDescent="0.2">
      <c r="B45" s="5" t="s">
        <v>23</v>
      </c>
      <c r="C45" s="5" t="s">
        <v>15</v>
      </c>
      <c r="D45" s="5" t="s">
        <v>16</v>
      </c>
      <c r="E45" s="5" t="s">
        <v>20</v>
      </c>
      <c r="F45" s="5" t="s">
        <v>176</v>
      </c>
      <c r="G45" s="5" t="s">
        <v>18</v>
      </c>
      <c r="H45" s="6">
        <v>22.9303701117916</v>
      </c>
      <c r="I45" s="28"/>
      <c r="J45" s="28"/>
      <c r="N45" s="8">
        <v>0</v>
      </c>
      <c r="O45" s="9">
        <v>60</v>
      </c>
      <c r="P45" s="5" t="s">
        <v>16</v>
      </c>
      <c r="Q45" s="19"/>
      <c r="R45" s="17"/>
      <c r="U45" s="19"/>
      <c r="V45" s="17"/>
      <c r="Y45" s="19"/>
      <c r="Z45" s="17"/>
      <c r="AC45" s="19"/>
    </row>
    <row r="46" spans="2:29" ht="15" customHeight="1" x14ac:dyDescent="0.2">
      <c r="B46" s="5" t="s">
        <v>24</v>
      </c>
      <c r="C46" s="5" t="s">
        <v>15</v>
      </c>
      <c r="D46" s="5" t="s">
        <v>16</v>
      </c>
      <c r="E46" s="5" t="s">
        <v>20</v>
      </c>
      <c r="F46" s="5" t="s">
        <v>176</v>
      </c>
      <c r="G46" s="5" t="s">
        <v>19</v>
      </c>
      <c r="H46" s="6">
        <v>22.916649987157701</v>
      </c>
      <c r="I46" s="28"/>
      <c r="J46" s="28"/>
      <c r="N46" s="8">
        <v>0</v>
      </c>
      <c r="O46" s="9">
        <v>60</v>
      </c>
      <c r="P46" s="5" t="s">
        <v>16</v>
      </c>
      <c r="Q46" s="19"/>
      <c r="R46" s="17"/>
      <c r="U46" s="19"/>
      <c r="V46" s="17"/>
      <c r="Y46" s="19"/>
      <c r="Z46" s="17"/>
      <c r="AC46" s="19"/>
    </row>
    <row r="47" spans="2:29" ht="15" customHeight="1" x14ac:dyDescent="0.2">
      <c r="B47" s="10"/>
      <c r="C47" s="10"/>
      <c r="D47" s="10"/>
      <c r="E47" s="10"/>
      <c r="F47" s="10"/>
      <c r="H47" s="28"/>
      <c r="I47" s="28"/>
      <c r="J47" s="28"/>
      <c r="N47" s="8">
        <v>0</v>
      </c>
      <c r="O47" s="9">
        <v>60</v>
      </c>
      <c r="P47" s="5" t="s">
        <v>16</v>
      </c>
      <c r="Q47" s="19"/>
      <c r="R47" s="17"/>
      <c r="U47" s="19"/>
      <c r="V47" s="17"/>
      <c r="Y47" s="19"/>
      <c r="Z47" s="17"/>
      <c r="AC47" s="19"/>
    </row>
    <row r="48" spans="2:29" ht="15" customHeight="1" x14ac:dyDescent="0.2">
      <c r="B48" s="5" t="s">
        <v>25</v>
      </c>
      <c r="C48" s="5" t="s">
        <v>15</v>
      </c>
      <c r="D48" s="5" t="s">
        <v>16</v>
      </c>
      <c r="E48" s="5" t="s">
        <v>20</v>
      </c>
      <c r="F48" s="5" t="s">
        <v>177</v>
      </c>
      <c r="G48" s="5" t="s">
        <v>17</v>
      </c>
      <c r="H48" s="6">
        <v>21.378263591731699</v>
      </c>
      <c r="I48" s="28">
        <f>AVERAGE(H48:H50)</f>
        <v>21.457194874595064</v>
      </c>
      <c r="J48" s="28">
        <f>_xlfn.STDEV.S(H48:H50)</f>
        <v>6.8366725683085619E-2</v>
      </c>
      <c r="N48" s="8">
        <v>0</v>
      </c>
      <c r="O48" s="9">
        <v>60</v>
      </c>
      <c r="P48" s="5" t="s">
        <v>16</v>
      </c>
      <c r="Q48" s="19"/>
      <c r="R48" s="17"/>
      <c r="U48" s="19"/>
      <c r="V48" s="17"/>
      <c r="Y48" s="19"/>
      <c r="Z48" s="17"/>
      <c r="AC48" s="19"/>
    </row>
    <row r="49" spans="2:29" ht="15" customHeight="1" x14ac:dyDescent="0.2">
      <c r="B49" s="5" t="s">
        <v>27</v>
      </c>
      <c r="C49" s="5" t="s">
        <v>15</v>
      </c>
      <c r="D49" s="5" t="s">
        <v>16</v>
      </c>
      <c r="E49" s="5" t="s">
        <v>20</v>
      </c>
      <c r="F49" s="5" t="s">
        <v>177</v>
      </c>
      <c r="G49" s="5" t="s">
        <v>18</v>
      </c>
      <c r="H49" s="6">
        <v>21.497843148591699</v>
      </c>
      <c r="I49" s="28"/>
      <c r="J49" s="28"/>
      <c r="N49" s="8">
        <v>0</v>
      </c>
      <c r="O49" s="9">
        <v>60</v>
      </c>
      <c r="P49" s="5" t="s">
        <v>16</v>
      </c>
      <c r="Q49" s="19"/>
      <c r="R49" s="17"/>
      <c r="U49" s="19"/>
      <c r="V49" s="17"/>
      <c r="Y49" s="19"/>
      <c r="Z49" s="17"/>
      <c r="AC49" s="19"/>
    </row>
    <row r="50" spans="2:29" ht="15" customHeight="1" x14ac:dyDescent="0.2">
      <c r="B50" s="5" t="s">
        <v>28</v>
      </c>
      <c r="C50" s="5" t="s">
        <v>15</v>
      </c>
      <c r="D50" s="5" t="s">
        <v>16</v>
      </c>
      <c r="E50" s="5" t="s">
        <v>20</v>
      </c>
      <c r="F50" s="5" t="s">
        <v>177</v>
      </c>
      <c r="G50" s="5" t="s">
        <v>19</v>
      </c>
      <c r="H50" s="6">
        <v>21.495477883461799</v>
      </c>
      <c r="I50" s="28"/>
      <c r="J50" s="28"/>
      <c r="N50" s="8">
        <v>0</v>
      </c>
      <c r="O50" s="9">
        <v>60</v>
      </c>
      <c r="P50" s="5" t="s">
        <v>16</v>
      </c>
      <c r="Q50" s="19"/>
      <c r="R50" s="17"/>
      <c r="U50" s="19"/>
      <c r="V50" s="17"/>
      <c r="Y50" s="19"/>
      <c r="Z50" s="17"/>
      <c r="AC50" s="19"/>
    </row>
    <row r="51" spans="2:29" ht="15" customHeight="1" x14ac:dyDescent="0.2">
      <c r="B51" s="10"/>
      <c r="C51" s="10"/>
      <c r="D51" s="10"/>
      <c r="E51" s="10"/>
      <c r="F51" s="10"/>
      <c r="H51" s="28"/>
      <c r="I51" s="28"/>
      <c r="J51" s="28"/>
      <c r="N51" s="8">
        <v>0</v>
      </c>
      <c r="O51" s="9">
        <v>60</v>
      </c>
      <c r="P51" s="5" t="s">
        <v>16</v>
      </c>
      <c r="Q51" s="19"/>
      <c r="R51" s="17"/>
      <c r="U51" s="19"/>
      <c r="V51" s="17"/>
      <c r="Y51" s="19"/>
      <c r="Z51" s="17"/>
      <c r="AC51" s="19"/>
    </row>
    <row r="52" spans="2:29" ht="15" customHeight="1" x14ac:dyDescent="0.2">
      <c r="B52" s="5" t="s">
        <v>29</v>
      </c>
      <c r="C52" s="5" t="s">
        <v>15</v>
      </c>
      <c r="D52" s="5" t="s">
        <v>16</v>
      </c>
      <c r="E52" s="5" t="s">
        <v>20</v>
      </c>
      <c r="F52" s="5" t="s">
        <v>178</v>
      </c>
      <c r="G52" s="5" t="s">
        <v>17</v>
      </c>
      <c r="H52" s="6">
        <v>20.537330110276699</v>
      </c>
      <c r="I52" s="28">
        <f>AVERAGE(H52:H54)</f>
        <v>20.435492517832099</v>
      </c>
      <c r="J52" s="28">
        <f>_xlfn.STDEV.S(H52:H54)</f>
        <v>8.8288336942394005E-2</v>
      </c>
      <c r="N52" s="8">
        <v>0</v>
      </c>
      <c r="O52" s="9">
        <v>60</v>
      </c>
      <c r="P52" s="5" t="s">
        <v>16</v>
      </c>
      <c r="Q52" s="19"/>
      <c r="R52" s="17"/>
      <c r="U52" s="19"/>
      <c r="V52" s="17"/>
      <c r="Y52" s="19"/>
      <c r="Z52" s="17"/>
      <c r="AC52" s="19"/>
    </row>
    <row r="53" spans="2:29" ht="15" customHeight="1" x14ac:dyDescent="0.2">
      <c r="B53" s="5" t="s">
        <v>31</v>
      </c>
      <c r="C53" s="5" t="s">
        <v>15</v>
      </c>
      <c r="D53" s="5" t="s">
        <v>16</v>
      </c>
      <c r="E53" s="5" t="s">
        <v>20</v>
      </c>
      <c r="F53" s="5" t="s">
        <v>178</v>
      </c>
      <c r="G53" s="5" t="s">
        <v>18</v>
      </c>
      <c r="H53" s="6">
        <v>20.3886552671344</v>
      </c>
      <c r="I53" s="28"/>
      <c r="J53" s="28"/>
      <c r="N53" s="8">
        <v>0</v>
      </c>
      <c r="O53" s="9">
        <v>60</v>
      </c>
      <c r="P53" s="5" t="s">
        <v>16</v>
      </c>
      <c r="Q53" s="19"/>
      <c r="R53" s="17"/>
      <c r="U53" s="19"/>
      <c r="V53" s="17"/>
      <c r="Y53" s="19"/>
      <c r="Z53" s="17"/>
      <c r="AC53" s="19"/>
    </row>
    <row r="54" spans="2:29" ht="15" customHeight="1" x14ac:dyDescent="0.2">
      <c r="B54" s="5" t="s">
        <v>32</v>
      </c>
      <c r="C54" s="5" t="s">
        <v>15</v>
      </c>
      <c r="D54" s="5" t="s">
        <v>16</v>
      </c>
      <c r="E54" s="5" t="s">
        <v>20</v>
      </c>
      <c r="F54" s="5" t="s">
        <v>178</v>
      </c>
      <c r="G54" s="5" t="s">
        <v>19</v>
      </c>
      <c r="H54" s="6">
        <v>20.380492176085198</v>
      </c>
      <c r="I54" s="28"/>
      <c r="J54" s="28"/>
      <c r="N54" s="8">
        <v>0</v>
      </c>
      <c r="O54" s="9">
        <v>60</v>
      </c>
      <c r="P54" s="5" t="s">
        <v>16</v>
      </c>
      <c r="Q54" s="19"/>
      <c r="R54" s="17"/>
      <c r="U54" s="19"/>
      <c r="V54" s="17"/>
      <c r="Y54" s="19"/>
      <c r="Z54" s="17"/>
      <c r="AC54" s="19"/>
    </row>
    <row r="55" spans="2:29" x14ac:dyDescent="0.2">
      <c r="H55" s="28"/>
      <c r="I55" s="28"/>
      <c r="J55" s="28"/>
      <c r="Q55" s="19"/>
      <c r="R55" s="17"/>
      <c r="U55" s="19"/>
      <c r="V55" s="17"/>
      <c r="Y55" s="19"/>
      <c r="Z55" s="17"/>
      <c r="AC55" s="19"/>
    </row>
    <row r="56" spans="2:29" ht="15" customHeight="1" x14ac:dyDescent="0.2">
      <c r="B56" s="5" t="s">
        <v>33</v>
      </c>
      <c r="C56" s="5" t="s">
        <v>15</v>
      </c>
      <c r="D56" s="5" t="s">
        <v>16</v>
      </c>
      <c r="E56" s="5" t="s">
        <v>20</v>
      </c>
      <c r="F56" s="5" t="s">
        <v>179</v>
      </c>
      <c r="G56" s="5" t="s">
        <v>17</v>
      </c>
      <c r="H56" s="6">
        <v>22.0944208023678</v>
      </c>
      <c r="I56" s="28">
        <f>AVERAGE(H56:H58)</f>
        <v>22.014338566371134</v>
      </c>
      <c r="J56" s="28">
        <f>_xlfn.STDEV.S(H56:H58)</f>
        <v>8.5058939926711638E-2</v>
      </c>
      <c r="N56" s="8">
        <v>0</v>
      </c>
      <c r="O56" s="9">
        <v>60</v>
      </c>
      <c r="P56" s="5" t="s">
        <v>16</v>
      </c>
      <c r="Q56" s="19"/>
      <c r="R56" s="17"/>
      <c r="U56" s="19"/>
      <c r="V56" s="17"/>
      <c r="Y56" s="19"/>
      <c r="Z56" s="17"/>
      <c r="AC56" s="19"/>
    </row>
    <row r="57" spans="2:29" ht="15" customHeight="1" x14ac:dyDescent="0.2">
      <c r="B57" s="5" t="s">
        <v>35</v>
      </c>
      <c r="C57" s="5" t="s">
        <v>15</v>
      </c>
      <c r="D57" s="5" t="s">
        <v>16</v>
      </c>
      <c r="E57" s="5" t="s">
        <v>20</v>
      </c>
      <c r="F57" s="5" t="s">
        <v>179</v>
      </c>
      <c r="G57" s="5" t="s">
        <v>18</v>
      </c>
      <c r="H57" s="6">
        <v>22.023543259055401</v>
      </c>
      <c r="I57" s="28"/>
      <c r="J57" s="28"/>
      <c r="N57" s="8">
        <v>0</v>
      </c>
      <c r="O57" s="9">
        <v>60</v>
      </c>
      <c r="P57" s="5" t="s">
        <v>16</v>
      </c>
      <c r="Q57" s="19"/>
      <c r="R57" s="17"/>
      <c r="U57" s="19"/>
      <c r="V57" s="17"/>
      <c r="Y57" s="19"/>
      <c r="Z57" s="17"/>
      <c r="AC57" s="19"/>
    </row>
    <row r="58" spans="2:29" ht="15" customHeight="1" x14ac:dyDescent="0.2">
      <c r="B58" s="5" t="s">
        <v>36</v>
      </c>
      <c r="C58" s="5" t="s">
        <v>15</v>
      </c>
      <c r="D58" s="5" t="s">
        <v>16</v>
      </c>
      <c r="E58" s="5" t="s">
        <v>20</v>
      </c>
      <c r="F58" s="5" t="s">
        <v>179</v>
      </c>
      <c r="G58" s="5" t="s">
        <v>19</v>
      </c>
      <c r="H58" s="6">
        <v>21.925051637690199</v>
      </c>
      <c r="I58" s="28"/>
      <c r="J58" s="28"/>
      <c r="N58" s="8">
        <v>0</v>
      </c>
      <c r="O58" s="9">
        <v>60</v>
      </c>
      <c r="P58" s="5" t="s">
        <v>16</v>
      </c>
      <c r="Q58" s="19"/>
      <c r="R58" s="17"/>
      <c r="U58" s="19"/>
      <c r="V58" s="17"/>
      <c r="Y58" s="19"/>
      <c r="Z58" s="17"/>
      <c r="AC58" s="19"/>
    </row>
    <row r="59" spans="2:29" x14ac:dyDescent="0.2">
      <c r="H59" s="28"/>
      <c r="I59" s="28"/>
      <c r="J59" s="28"/>
      <c r="Q59" s="19"/>
      <c r="R59" s="17"/>
      <c r="U59" s="19"/>
      <c r="V59" s="17"/>
      <c r="Y59" s="19"/>
      <c r="Z59" s="17"/>
      <c r="AC59" s="19"/>
    </row>
    <row r="60" spans="2:29" ht="15" customHeight="1" x14ac:dyDescent="0.2">
      <c r="B60" s="5" t="s">
        <v>37</v>
      </c>
      <c r="C60" s="5" t="s">
        <v>15</v>
      </c>
      <c r="D60" s="5" t="s">
        <v>16</v>
      </c>
      <c r="E60" s="5" t="s">
        <v>20</v>
      </c>
      <c r="F60" s="5" t="s">
        <v>180</v>
      </c>
      <c r="G60" s="5" t="s">
        <v>17</v>
      </c>
      <c r="H60" s="6">
        <v>21.3606286344986</v>
      </c>
      <c r="I60" s="28">
        <f>AVERAGE(H60:H62)</f>
        <v>21.323390521861466</v>
      </c>
      <c r="J60" s="28">
        <f>_xlfn.STDEV.S(H60:H62)</f>
        <v>3.2639919883585784E-2</v>
      </c>
      <c r="N60" s="8">
        <v>0</v>
      </c>
      <c r="O60" s="9">
        <v>60</v>
      </c>
      <c r="P60" s="5" t="s">
        <v>16</v>
      </c>
      <c r="Q60" s="19"/>
      <c r="R60" s="17"/>
      <c r="U60" s="19"/>
      <c r="V60" s="17"/>
      <c r="Y60" s="19"/>
      <c r="Z60" s="17"/>
      <c r="AC60" s="19"/>
    </row>
    <row r="61" spans="2:29" ht="15" customHeight="1" x14ac:dyDescent="0.2">
      <c r="B61" s="5" t="s">
        <v>39</v>
      </c>
      <c r="C61" s="5" t="s">
        <v>15</v>
      </c>
      <c r="D61" s="5" t="s">
        <v>16</v>
      </c>
      <c r="E61" s="5" t="s">
        <v>20</v>
      </c>
      <c r="F61" s="5" t="s">
        <v>180</v>
      </c>
      <c r="G61" s="5" t="s">
        <v>18</v>
      </c>
      <c r="H61" s="6">
        <v>21.309806998824001</v>
      </c>
      <c r="I61" s="28"/>
      <c r="J61" s="28"/>
      <c r="N61" s="8">
        <v>0</v>
      </c>
      <c r="O61" s="9">
        <v>60</v>
      </c>
      <c r="P61" s="5" t="s">
        <v>16</v>
      </c>
      <c r="Q61" s="19"/>
      <c r="R61" s="17"/>
      <c r="U61" s="19"/>
      <c r="V61" s="17"/>
      <c r="Y61" s="19"/>
      <c r="Z61" s="17"/>
      <c r="AC61" s="19"/>
    </row>
    <row r="62" spans="2:29" ht="15" customHeight="1" x14ac:dyDescent="0.2">
      <c r="B62" s="5" t="s">
        <v>40</v>
      </c>
      <c r="C62" s="5" t="s">
        <v>15</v>
      </c>
      <c r="D62" s="5" t="s">
        <v>16</v>
      </c>
      <c r="E62" s="5" t="s">
        <v>20</v>
      </c>
      <c r="F62" s="5" t="s">
        <v>180</v>
      </c>
      <c r="G62" s="5" t="s">
        <v>19</v>
      </c>
      <c r="H62" s="6">
        <v>21.2997359322618</v>
      </c>
      <c r="I62" s="28"/>
      <c r="J62" s="28"/>
      <c r="N62" s="8">
        <v>0</v>
      </c>
      <c r="O62" s="9">
        <v>60</v>
      </c>
      <c r="P62" s="5" t="s">
        <v>16</v>
      </c>
      <c r="Q62" s="19"/>
      <c r="R62" s="17"/>
      <c r="U62" s="19"/>
      <c r="V62" s="17"/>
      <c r="Y62" s="19"/>
      <c r="Z62" s="17"/>
      <c r="AC62" s="19"/>
    </row>
    <row r="63" spans="2:29" x14ac:dyDescent="0.2">
      <c r="H63" s="28"/>
      <c r="I63" s="28"/>
      <c r="J63" s="28"/>
      <c r="Q63" s="19"/>
      <c r="R63" s="17"/>
      <c r="U63" s="19"/>
      <c r="V63" s="17"/>
      <c r="Y63" s="19"/>
      <c r="Z63" s="17"/>
      <c r="AC63" s="19"/>
    </row>
    <row r="64" spans="2:29" ht="15" customHeight="1" x14ac:dyDescent="0.2">
      <c r="B64" s="5" t="s">
        <v>41</v>
      </c>
      <c r="C64" s="5" t="s">
        <v>15</v>
      </c>
      <c r="D64" s="5" t="s">
        <v>16</v>
      </c>
      <c r="E64" s="5" t="s">
        <v>20</v>
      </c>
      <c r="F64" s="5" t="s">
        <v>181</v>
      </c>
      <c r="G64" s="5" t="s">
        <v>17</v>
      </c>
      <c r="H64" s="6">
        <v>22.192076368847999</v>
      </c>
      <c r="I64" s="28">
        <f>AVERAGE(H64:H66)</f>
        <v>22.117297153846703</v>
      </c>
      <c r="J64" s="28">
        <f>_xlfn.STDEV.S(H64:H66)</f>
        <v>6.6670348565287224E-2</v>
      </c>
      <c r="N64" s="8">
        <v>0</v>
      </c>
      <c r="O64" s="9">
        <v>60</v>
      </c>
      <c r="P64" s="5" t="s">
        <v>16</v>
      </c>
      <c r="Q64" s="19"/>
      <c r="R64" s="17"/>
      <c r="U64" s="19"/>
      <c r="V64" s="17"/>
      <c r="Y64" s="19"/>
      <c r="Z64" s="17"/>
      <c r="AC64" s="19"/>
    </row>
    <row r="65" spans="2:29" ht="15" customHeight="1" x14ac:dyDescent="0.2">
      <c r="B65" s="5" t="s">
        <v>43</v>
      </c>
      <c r="C65" s="5" t="s">
        <v>15</v>
      </c>
      <c r="D65" s="5" t="s">
        <v>16</v>
      </c>
      <c r="E65" s="5" t="s">
        <v>20</v>
      </c>
      <c r="F65" s="5" t="s">
        <v>181</v>
      </c>
      <c r="G65" s="5" t="s">
        <v>18</v>
      </c>
      <c r="H65" s="6">
        <v>22.064064972986301</v>
      </c>
      <c r="I65" s="28"/>
      <c r="J65" s="28"/>
      <c r="N65" s="8">
        <v>0</v>
      </c>
      <c r="O65" s="9">
        <v>60</v>
      </c>
      <c r="P65" s="5" t="s">
        <v>16</v>
      </c>
      <c r="Q65" s="19"/>
      <c r="R65" s="17"/>
      <c r="U65" s="19"/>
      <c r="V65" s="17"/>
      <c r="Y65" s="19"/>
      <c r="Z65" s="17"/>
      <c r="AC65" s="19"/>
    </row>
    <row r="66" spans="2:29" ht="15" customHeight="1" x14ac:dyDescent="0.2">
      <c r="B66" s="5" t="s">
        <v>44</v>
      </c>
      <c r="C66" s="5" t="s">
        <v>15</v>
      </c>
      <c r="D66" s="5" t="s">
        <v>16</v>
      </c>
      <c r="E66" s="5" t="s">
        <v>20</v>
      </c>
      <c r="F66" s="5" t="s">
        <v>181</v>
      </c>
      <c r="G66" s="5" t="s">
        <v>19</v>
      </c>
      <c r="H66" s="6">
        <v>22.095750119705801</v>
      </c>
      <c r="I66" s="28"/>
      <c r="J66" s="28"/>
      <c r="N66" s="8">
        <v>0</v>
      </c>
      <c r="O66" s="9">
        <v>60</v>
      </c>
      <c r="P66" s="5" t="s">
        <v>16</v>
      </c>
      <c r="Q66" s="19"/>
      <c r="R66" s="17"/>
      <c r="U66" s="19"/>
      <c r="V66" s="17"/>
      <c r="Y66" s="19"/>
      <c r="Z66" s="17"/>
      <c r="AC66" s="19"/>
    </row>
    <row r="67" spans="2:29" ht="15" customHeight="1" x14ac:dyDescent="0.2">
      <c r="B67" s="11"/>
      <c r="C67" s="11"/>
      <c r="D67" s="11"/>
      <c r="E67" s="11"/>
      <c r="F67" s="11"/>
      <c r="G67" s="11"/>
      <c r="H67" s="29"/>
      <c r="I67" s="29"/>
      <c r="J67" s="29"/>
      <c r="K67" s="13"/>
      <c r="L67" s="12"/>
      <c r="M67" s="13"/>
      <c r="N67" s="13">
        <v>0</v>
      </c>
      <c r="O67" s="14">
        <v>60</v>
      </c>
      <c r="P67" s="11" t="s">
        <v>16</v>
      </c>
      <c r="Q67" s="20"/>
      <c r="R67" s="16"/>
      <c r="U67" s="20"/>
      <c r="V67" s="16"/>
      <c r="Y67" s="20"/>
      <c r="Z67" s="16"/>
      <c r="AC67" s="20"/>
    </row>
    <row r="68" spans="2:29" ht="15" customHeight="1" x14ac:dyDescent="0.2">
      <c r="B68" s="21"/>
      <c r="C68" s="21"/>
      <c r="D68" s="21"/>
      <c r="E68" s="21"/>
      <c r="F68" s="21"/>
      <c r="G68" s="21"/>
      <c r="H68" s="30"/>
      <c r="I68" s="30"/>
      <c r="J68" s="30"/>
      <c r="K68" s="21"/>
      <c r="L68" s="21"/>
      <c r="M68" s="21"/>
      <c r="N68" s="21">
        <v>0</v>
      </c>
      <c r="O68" s="21">
        <v>60</v>
      </c>
      <c r="P68" s="21" t="s">
        <v>16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2:29" ht="15" customHeight="1" x14ac:dyDescent="0.2">
      <c r="B69" s="10"/>
      <c r="C69" s="10"/>
      <c r="D69" s="10"/>
      <c r="E69" s="10"/>
      <c r="F69" s="10"/>
      <c r="G69" s="10"/>
      <c r="H69" s="28"/>
      <c r="I69" s="28"/>
      <c r="J69" s="28"/>
      <c r="K69" s="10"/>
      <c r="L69" s="10"/>
      <c r="M69" s="10"/>
      <c r="N69" s="10"/>
      <c r="O69" s="10"/>
      <c r="P69" s="10"/>
      <c r="Q69" s="19"/>
      <c r="R69" s="17"/>
      <c r="U69" s="19"/>
      <c r="V69" s="17"/>
      <c r="Y69" s="19"/>
      <c r="Z69" s="17"/>
      <c r="AC69" s="19"/>
    </row>
    <row r="70" spans="2:29" ht="15" customHeight="1" x14ac:dyDescent="0.2">
      <c r="B70" s="5" t="s">
        <v>45</v>
      </c>
      <c r="C70" s="5" t="s">
        <v>15</v>
      </c>
      <c r="D70" s="5" t="s">
        <v>16</v>
      </c>
      <c r="E70" s="5" t="s">
        <v>20</v>
      </c>
      <c r="F70" s="5" t="s">
        <v>182</v>
      </c>
      <c r="G70" s="5" t="s">
        <v>17</v>
      </c>
      <c r="H70" s="6">
        <v>24.357769313091801</v>
      </c>
      <c r="I70" s="28">
        <f>AVERAGE(H70:H72)</f>
        <v>24.273327072431233</v>
      </c>
      <c r="J70" s="28">
        <f>_xlfn.STDEV.S(H70:H72)</f>
        <v>7.4835307933786802E-2</v>
      </c>
      <c r="N70" s="8">
        <v>0</v>
      </c>
      <c r="O70" s="9">
        <v>60</v>
      </c>
      <c r="P70" s="5" t="s">
        <v>16</v>
      </c>
      <c r="Q70" s="19"/>
      <c r="R70" s="17"/>
      <c r="U70" s="19"/>
      <c r="V70" s="17"/>
      <c r="Y70" s="19"/>
      <c r="Z70" s="17"/>
      <c r="AC70" s="19"/>
    </row>
    <row r="71" spans="2:29" x14ac:dyDescent="0.2">
      <c r="B71" s="5" t="s">
        <v>47</v>
      </c>
      <c r="C71" s="5" t="s">
        <v>15</v>
      </c>
      <c r="D71" s="5" t="s">
        <v>16</v>
      </c>
      <c r="E71" s="5" t="s">
        <v>20</v>
      </c>
      <c r="F71" s="5" t="s">
        <v>182</v>
      </c>
      <c r="G71" s="5" t="s">
        <v>18</v>
      </c>
      <c r="H71" s="6">
        <v>24.2469947628718</v>
      </c>
      <c r="I71" s="28"/>
      <c r="J71" s="28"/>
      <c r="Q71" s="19"/>
      <c r="R71" s="17"/>
      <c r="U71" s="19"/>
      <c r="V71" s="17"/>
      <c r="Y71" s="19"/>
      <c r="Z71" s="17"/>
      <c r="AC71" s="19"/>
    </row>
    <row r="72" spans="2:29" ht="15" customHeight="1" x14ac:dyDescent="0.2">
      <c r="B72" s="5" t="s">
        <v>48</v>
      </c>
      <c r="C72" s="5" t="s">
        <v>15</v>
      </c>
      <c r="D72" s="5" t="s">
        <v>16</v>
      </c>
      <c r="E72" s="5" t="s">
        <v>20</v>
      </c>
      <c r="F72" s="5" t="s">
        <v>182</v>
      </c>
      <c r="G72" s="5" t="s">
        <v>19</v>
      </c>
      <c r="H72" s="6">
        <v>24.215217141330101</v>
      </c>
      <c r="I72" s="28"/>
      <c r="J72" s="28"/>
      <c r="Q72" s="19"/>
      <c r="R72" s="17"/>
      <c r="U72" s="19"/>
      <c r="V72" s="17"/>
      <c r="Y72" s="19"/>
      <c r="Z72" s="17"/>
      <c r="AC72" s="19"/>
    </row>
    <row r="73" spans="2:29" ht="15" customHeight="1" x14ac:dyDescent="0.2">
      <c r="H73" s="28"/>
      <c r="I73" s="28"/>
      <c r="J73" s="28"/>
      <c r="N73" s="8">
        <v>0</v>
      </c>
      <c r="O73" s="9">
        <v>60</v>
      </c>
      <c r="P73" s="5" t="s">
        <v>16</v>
      </c>
      <c r="Q73" s="19"/>
      <c r="R73" s="17"/>
      <c r="U73" s="19"/>
      <c r="V73" s="17"/>
      <c r="Y73" s="19"/>
      <c r="Z73" s="17"/>
      <c r="AC73" s="19"/>
    </row>
    <row r="74" spans="2:29" ht="15" customHeight="1" x14ac:dyDescent="0.2">
      <c r="B74" s="5" t="s">
        <v>49</v>
      </c>
      <c r="C74" s="5" t="s">
        <v>15</v>
      </c>
      <c r="D74" s="5" t="s">
        <v>16</v>
      </c>
      <c r="E74" s="5" t="s">
        <v>20</v>
      </c>
      <c r="F74" s="5" t="s">
        <v>183</v>
      </c>
      <c r="G74" s="5" t="s">
        <v>17</v>
      </c>
      <c r="H74" s="6">
        <v>24.9373509351176</v>
      </c>
      <c r="I74" s="28">
        <f>AVERAGE(H74:H76)</f>
        <v>24.816836639714335</v>
      </c>
      <c r="J74" s="28">
        <f>_xlfn.STDEV.S(H74:H76)</f>
        <v>0.1046362667220859</v>
      </c>
      <c r="N74" s="8">
        <v>0</v>
      </c>
      <c r="O74" s="9">
        <v>60</v>
      </c>
      <c r="P74" s="5" t="s">
        <v>16</v>
      </c>
      <c r="Q74" s="19"/>
      <c r="R74" s="17"/>
      <c r="U74" s="19"/>
      <c r="V74" s="17"/>
      <c r="Y74" s="19"/>
      <c r="Z74" s="17"/>
      <c r="AC74" s="19"/>
    </row>
    <row r="75" spans="2:29" x14ac:dyDescent="0.2">
      <c r="B75" s="5" t="s">
        <v>51</v>
      </c>
      <c r="C75" s="5" t="s">
        <v>15</v>
      </c>
      <c r="D75" s="5" t="s">
        <v>16</v>
      </c>
      <c r="E75" s="5" t="s">
        <v>20</v>
      </c>
      <c r="F75" s="5" t="s">
        <v>183</v>
      </c>
      <c r="G75" s="5" t="s">
        <v>18</v>
      </c>
      <c r="H75" s="6">
        <v>24.764061254246698</v>
      </c>
      <c r="I75" s="28"/>
      <c r="J75" s="28"/>
      <c r="N75" s="8">
        <v>0</v>
      </c>
      <c r="O75" s="9">
        <v>60</v>
      </c>
      <c r="P75" s="5" t="s">
        <v>16</v>
      </c>
      <c r="Q75" s="19"/>
      <c r="R75" s="17"/>
      <c r="U75" s="19"/>
      <c r="V75" s="17"/>
      <c r="Y75" s="19"/>
      <c r="Z75" s="17"/>
      <c r="AC75" s="19"/>
    </row>
    <row r="76" spans="2:29" x14ac:dyDescent="0.2">
      <c r="B76" s="5" t="s">
        <v>52</v>
      </c>
      <c r="C76" s="5" t="s">
        <v>15</v>
      </c>
      <c r="D76" s="5" t="s">
        <v>16</v>
      </c>
      <c r="E76" s="5" t="s">
        <v>20</v>
      </c>
      <c r="F76" s="5" t="s">
        <v>183</v>
      </c>
      <c r="G76" s="5" t="s">
        <v>19</v>
      </c>
      <c r="H76" s="6">
        <v>24.7490977297787</v>
      </c>
      <c r="I76" s="28"/>
      <c r="J76" s="28"/>
      <c r="N76" s="8">
        <v>0</v>
      </c>
      <c r="O76" s="9">
        <v>60</v>
      </c>
      <c r="P76" s="5" t="s">
        <v>16</v>
      </c>
      <c r="Q76" s="19"/>
      <c r="R76" s="17"/>
      <c r="U76" s="19"/>
      <c r="V76" s="17"/>
      <c r="Y76" s="19"/>
      <c r="Z76" s="17"/>
      <c r="AC76" s="19"/>
    </row>
    <row r="77" spans="2:29" x14ac:dyDescent="0.2">
      <c r="H77" s="28"/>
      <c r="I77" s="28"/>
      <c r="J77" s="28"/>
      <c r="N77" s="8">
        <v>0</v>
      </c>
      <c r="O77" s="9">
        <v>60</v>
      </c>
      <c r="P77" s="5" t="s">
        <v>16</v>
      </c>
      <c r="Q77" s="19"/>
      <c r="R77" s="17"/>
      <c r="U77" s="19"/>
      <c r="V77" s="17"/>
      <c r="Y77" s="19"/>
      <c r="Z77" s="17"/>
      <c r="AC77" s="19"/>
    </row>
    <row r="78" spans="2:29" x14ac:dyDescent="0.2">
      <c r="B78" s="5" t="s">
        <v>301</v>
      </c>
      <c r="C78" s="5" t="s">
        <v>15</v>
      </c>
      <c r="D78" s="5" t="s">
        <v>16</v>
      </c>
      <c r="E78" s="5" t="s">
        <v>20</v>
      </c>
      <c r="F78" s="5" t="s">
        <v>184</v>
      </c>
      <c r="G78" s="5" t="s">
        <v>17</v>
      </c>
      <c r="H78" s="6">
        <v>24.415884557666899</v>
      </c>
      <c r="I78" s="28">
        <f>AVERAGE(H78:H80)</f>
        <v>24.483464299465499</v>
      </c>
      <c r="J78" s="28">
        <f>_xlfn.STDEV.S(H78:H80)</f>
        <v>5.8941675510095368E-2</v>
      </c>
      <c r="N78" s="8">
        <v>0</v>
      </c>
      <c r="O78" s="9">
        <v>60</v>
      </c>
      <c r="P78" s="5" t="s">
        <v>16</v>
      </c>
      <c r="Q78" s="19"/>
      <c r="R78" s="17"/>
      <c r="U78" s="19"/>
      <c r="V78" s="17"/>
      <c r="Y78" s="19"/>
      <c r="Z78" s="17"/>
      <c r="AC78" s="19"/>
    </row>
    <row r="79" spans="2:29" x14ac:dyDescent="0.2">
      <c r="B79" s="5" t="s">
        <v>302</v>
      </c>
      <c r="C79" s="5" t="s">
        <v>15</v>
      </c>
      <c r="D79" s="5" t="s">
        <v>16</v>
      </c>
      <c r="E79" s="5" t="s">
        <v>20</v>
      </c>
      <c r="F79" s="5" t="s">
        <v>184</v>
      </c>
      <c r="G79" s="5" t="s">
        <v>18</v>
      </c>
      <c r="H79" s="6">
        <v>24.5102645361996</v>
      </c>
      <c r="I79" s="28"/>
      <c r="J79" s="28"/>
      <c r="N79" s="8">
        <v>0</v>
      </c>
      <c r="O79" s="9">
        <v>60</v>
      </c>
      <c r="P79" s="5" t="s">
        <v>16</v>
      </c>
      <c r="Q79" s="19"/>
      <c r="R79" s="17"/>
      <c r="U79" s="19"/>
      <c r="V79" s="17"/>
      <c r="Y79" s="19"/>
      <c r="Z79" s="17"/>
      <c r="AC79" s="19"/>
    </row>
    <row r="80" spans="2:29" x14ac:dyDescent="0.2">
      <c r="B80" s="5" t="s">
        <v>303</v>
      </c>
      <c r="C80" s="5" t="s">
        <v>15</v>
      </c>
      <c r="D80" s="5" t="s">
        <v>16</v>
      </c>
      <c r="E80" s="5" t="s">
        <v>20</v>
      </c>
      <c r="F80" s="5" t="s">
        <v>184</v>
      </c>
      <c r="G80" s="5" t="s">
        <v>19</v>
      </c>
      <c r="H80" s="6">
        <v>24.524243804529998</v>
      </c>
      <c r="I80" s="28"/>
      <c r="J80" s="28"/>
      <c r="N80" s="8">
        <v>0</v>
      </c>
      <c r="O80" s="9">
        <v>60</v>
      </c>
      <c r="P80" s="5" t="s">
        <v>16</v>
      </c>
      <c r="Q80" s="19"/>
      <c r="R80" s="17"/>
      <c r="U80" s="19"/>
      <c r="V80" s="17"/>
      <c r="Y80" s="19"/>
      <c r="Z80" s="17"/>
      <c r="AC80" s="19"/>
    </row>
    <row r="81" spans="2:29" x14ac:dyDescent="0.2">
      <c r="B81" s="10"/>
      <c r="C81" s="10"/>
      <c r="D81" s="10"/>
      <c r="E81" s="10"/>
      <c r="F81" s="10"/>
      <c r="H81" s="28"/>
      <c r="I81" s="28"/>
      <c r="J81" s="28"/>
      <c r="N81" s="8">
        <v>0</v>
      </c>
      <c r="O81" s="9">
        <v>60</v>
      </c>
      <c r="P81" s="5" t="s">
        <v>16</v>
      </c>
      <c r="Q81" s="19"/>
      <c r="R81" s="17"/>
      <c r="U81" s="19"/>
      <c r="V81" s="17"/>
      <c r="Y81" s="19"/>
      <c r="Z81" s="17"/>
      <c r="AC81" s="19"/>
    </row>
    <row r="82" spans="2:29" x14ac:dyDescent="0.2">
      <c r="B82" s="5" t="s">
        <v>304</v>
      </c>
      <c r="C82" s="5" t="s">
        <v>15</v>
      </c>
      <c r="D82" s="5" t="s">
        <v>16</v>
      </c>
      <c r="E82" s="5" t="s">
        <v>20</v>
      </c>
      <c r="F82" s="5" t="s">
        <v>185</v>
      </c>
      <c r="G82" s="5" t="s">
        <v>17</v>
      </c>
      <c r="H82" s="6">
        <v>23.335837229819798</v>
      </c>
      <c r="I82" s="28">
        <f>AVERAGE(H82:H84)</f>
        <v>23.262559748327664</v>
      </c>
      <c r="J82" s="28">
        <f>_xlfn.STDEV.S(H82:H84)</f>
        <v>8.5334696528769863E-2</v>
      </c>
      <c r="N82" s="8">
        <v>0</v>
      </c>
      <c r="O82" s="9">
        <v>60</v>
      </c>
      <c r="P82" s="5" t="s">
        <v>16</v>
      </c>
      <c r="Q82" s="19"/>
      <c r="R82" s="17"/>
      <c r="U82" s="19"/>
      <c r="V82" s="17"/>
      <c r="Y82" s="19"/>
      <c r="Z82" s="17"/>
      <c r="AC82" s="19"/>
    </row>
    <row r="83" spans="2:29" x14ac:dyDescent="0.2">
      <c r="B83" s="5" t="s">
        <v>305</v>
      </c>
      <c r="C83" s="5" t="s">
        <v>15</v>
      </c>
      <c r="D83" s="5" t="s">
        <v>16</v>
      </c>
      <c r="E83" s="5" t="s">
        <v>20</v>
      </c>
      <c r="F83" s="5" t="s">
        <v>185</v>
      </c>
      <c r="G83" s="5" t="s">
        <v>18</v>
      </c>
      <c r="H83" s="6">
        <v>23.2829720238853</v>
      </c>
      <c r="I83" s="28"/>
      <c r="J83" s="28"/>
      <c r="N83" s="8">
        <v>0</v>
      </c>
      <c r="O83" s="9">
        <v>60</v>
      </c>
      <c r="P83" s="5" t="s">
        <v>16</v>
      </c>
      <c r="Q83" s="19"/>
      <c r="R83" s="17"/>
      <c r="U83" s="19"/>
      <c r="V83" s="17"/>
      <c r="Y83" s="19"/>
      <c r="Z83" s="17"/>
      <c r="AC83" s="19"/>
    </row>
    <row r="84" spans="2:29" x14ac:dyDescent="0.2">
      <c r="B84" s="5" t="s">
        <v>306</v>
      </c>
      <c r="C84" s="5" t="s">
        <v>15</v>
      </c>
      <c r="D84" s="5" t="s">
        <v>16</v>
      </c>
      <c r="E84" s="5" t="s">
        <v>20</v>
      </c>
      <c r="F84" s="5" t="s">
        <v>185</v>
      </c>
      <c r="G84" s="5" t="s">
        <v>19</v>
      </c>
      <c r="H84" s="6">
        <v>23.168869991277901</v>
      </c>
      <c r="I84" s="28"/>
      <c r="J84" s="28"/>
      <c r="N84" s="8">
        <v>0</v>
      </c>
      <c r="O84" s="9">
        <v>60</v>
      </c>
      <c r="P84" s="5" t="s">
        <v>16</v>
      </c>
      <c r="Q84" s="19"/>
      <c r="R84" s="17"/>
      <c r="U84" s="19"/>
      <c r="V84" s="17"/>
      <c r="Y84" s="19"/>
      <c r="Z84" s="17"/>
      <c r="AC84" s="19"/>
    </row>
    <row r="85" spans="2:29" x14ac:dyDescent="0.2">
      <c r="B85" s="10"/>
      <c r="C85" s="10"/>
      <c r="D85" s="10"/>
      <c r="E85" s="10"/>
      <c r="F85" s="10"/>
      <c r="H85" s="28"/>
      <c r="I85" s="28"/>
      <c r="J85" s="28"/>
      <c r="N85" s="8">
        <v>0</v>
      </c>
      <c r="O85" s="9">
        <v>60</v>
      </c>
      <c r="P85" s="5" t="s">
        <v>16</v>
      </c>
      <c r="Q85" s="19"/>
      <c r="R85" s="17"/>
      <c r="U85" s="19"/>
      <c r="V85" s="17"/>
      <c r="Y85" s="19"/>
      <c r="Z85" s="17"/>
      <c r="AC85" s="19"/>
    </row>
    <row r="86" spans="2:29" x14ac:dyDescent="0.2">
      <c r="B86" s="5" t="s">
        <v>307</v>
      </c>
      <c r="C86" s="5" t="s">
        <v>15</v>
      </c>
      <c r="D86" s="5" t="s">
        <v>16</v>
      </c>
      <c r="E86" s="5" t="s">
        <v>20</v>
      </c>
      <c r="F86" s="5" t="s">
        <v>186</v>
      </c>
      <c r="G86" s="5" t="s">
        <v>17</v>
      </c>
      <c r="H86" s="6">
        <v>22.064521126389</v>
      </c>
      <c r="I86" s="28">
        <f>AVERAGE(H86:H88)</f>
        <v>22.164038412145434</v>
      </c>
      <c r="J86" s="28">
        <f>_xlfn.STDEV.S(H86:H88)</f>
        <v>0.11019222434946929</v>
      </c>
      <c r="N86" s="8">
        <v>0</v>
      </c>
      <c r="O86" s="9">
        <v>60</v>
      </c>
      <c r="P86" s="5" t="s">
        <v>16</v>
      </c>
      <c r="Q86" s="19"/>
      <c r="R86" s="17"/>
      <c r="U86" s="19"/>
      <c r="V86" s="17"/>
      <c r="Y86" s="19"/>
      <c r="Z86" s="17"/>
      <c r="AC86" s="19"/>
    </row>
    <row r="87" spans="2:29" x14ac:dyDescent="0.2">
      <c r="B87" s="5" t="s">
        <v>308</v>
      </c>
      <c r="C87" s="5" t="s">
        <v>15</v>
      </c>
      <c r="D87" s="5" t="s">
        <v>16</v>
      </c>
      <c r="E87" s="5" t="s">
        <v>20</v>
      </c>
      <c r="F87" s="5" t="s">
        <v>186</v>
      </c>
      <c r="G87" s="5" t="s">
        <v>18</v>
      </c>
      <c r="H87" s="6">
        <v>22.282459699043802</v>
      </c>
      <c r="I87" s="28"/>
      <c r="J87" s="28"/>
      <c r="N87" s="8">
        <v>0</v>
      </c>
      <c r="O87" s="9">
        <v>60</v>
      </c>
      <c r="P87" s="5" t="s">
        <v>16</v>
      </c>
      <c r="Q87" s="19"/>
      <c r="R87" s="17"/>
      <c r="U87" s="19"/>
      <c r="V87" s="17"/>
      <c r="Y87" s="19"/>
      <c r="Z87" s="17"/>
      <c r="AC87" s="19"/>
    </row>
    <row r="88" spans="2:29" x14ac:dyDescent="0.2">
      <c r="B88" s="5" t="s">
        <v>309</v>
      </c>
      <c r="C88" s="5" t="s">
        <v>15</v>
      </c>
      <c r="D88" s="5" t="s">
        <v>16</v>
      </c>
      <c r="E88" s="5" t="s">
        <v>20</v>
      </c>
      <c r="F88" s="5" t="s">
        <v>186</v>
      </c>
      <c r="G88" s="5" t="s">
        <v>19</v>
      </c>
      <c r="H88" s="6">
        <v>22.1451344110035</v>
      </c>
      <c r="I88" s="28"/>
      <c r="J88" s="28"/>
      <c r="N88" s="8">
        <v>0</v>
      </c>
      <c r="O88" s="9">
        <v>60</v>
      </c>
      <c r="P88" s="5" t="s">
        <v>16</v>
      </c>
      <c r="Q88" s="19"/>
      <c r="R88" s="17"/>
      <c r="U88" s="19"/>
      <c r="V88" s="17"/>
      <c r="Y88" s="19"/>
      <c r="Z88" s="17"/>
      <c r="AC88" s="19"/>
    </row>
    <row r="89" spans="2:29" x14ac:dyDescent="0.2">
      <c r="H89" s="28"/>
      <c r="I89" s="28"/>
      <c r="J89" s="28"/>
      <c r="Q89" s="19"/>
      <c r="R89" s="17"/>
      <c r="U89" s="19"/>
      <c r="V89" s="17"/>
      <c r="Y89" s="19"/>
      <c r="Z89" s="17"/>
      <c r="AC89" s="19"/>
    </row>
    <row r="90" spans="2:29" x14ac:dyDescent="0.2">
      <c r="B90" s="5" t="s">
        <v>310</v>
      </c>
      <c r="C90" s="5" t="s">
        <v>15</v>
      </c>
      <c r="D90" s="5" t="s">
        <v>16</v>
      </c>
      <c r="E90" s="5" t="s">
        <v>20</v>
      </c>
      <c r="F90" s="5" t="s">
        <v>187</v>
      </c>
      <c r="G90" s="5" t="s">
        <v>17</v>
      </c>
      <c r="H90" s="6">
        <v>23.9200744458991</v>
      </c>
      <c r="I90" s="28">
        <f>AVERAGE(H90:H92)</f>
        <v>23.929711990937601</v>
      </c>
      <c r="J90" s="28">
        <f>_xlfn.STDEV.S(H90:H92)</f>
        <v>4.3115477151530364E-2</v>
      </c>
      <c r="N90" s="8">
        <v>0</v>
      </c>
      <c r="O90" s="9">
        <v>60</v>
      </c>
      <c r="P90" s="5" t="s">
        <v>16</v>
      </c>
      <c r="Q90" s="19"/>
      <c r="R90" s="17"/>
      <c r="U90" s="19"/>
      <c r="V90" s="17"/>
      <c r="Y90" s="19"/>
      <c r="Z90" s="17"/>
      <c r="AC90" s="19"/>
    </row>
    <row r="91" spans="2:29" x14ac:dyDescent="0.2">
      <c r="B91" s="5" t="s">
        <v>311</v>
      </c>
      <c r="C91" s="5" t="s">
        <v>15</v>
      </c>
      <c r="D91" s="5" t="s">
        <v>16</v>
      </c>
      <c r="E91" s="5" t="s">
        <v>20</v>
      </c>
      <c r="F91" s="5" t="s">
        <v>187</v>
      </c>
      <c r="G91" s="5" t="s">
        <v>18</v>
      </c>
      <c r="H91" s="6">
        <v>23.9768306767455</v>
      </c>
      <c r="I91" s="28"/>
      <c r="J91" s="28"/>
      <c r="N91" s="8">
        <v>0</v>
      </c>
      <c r="O91" s="9">
        <v>60</v>
      </c>
      <c r="P91" s="5" t="s">
        <v>16</v>
      </c>
      <c r="Q91" s="19"/>
      <c r="R91" s="17"/>
      <c r="U91" s="19"/>
      <c r="V91" s="17"/>
      <c r="Y91" s="19"/>
      <c r="Z91" s="17"/>
      <c r="AC91" s="19"/>
    </row>
    <row r="92" spans="2:29" x14ac:dyDescent="0.2">
      <c r="B92" s="5" t="s">
        <v>312</v>
      </c>
      <c r="C92" s="5" t="s">
        <v>15</v>
      </c>
      <c r="D92" s="5" t="s">
        <v>16</v>
      </c>
      <c r="E92" s="5" t="s">
        <v>20</v>
      </c>
      <c r="F92" s="5" t="s">
        <v>187</v>
      </c>
      <c r="G92" s="5" t="s">
        <v>19</v>
      </c>
      <c r="H92" s="6">
        <v>23.8922308501682</v>
      </c>
      <c r="I92" s="28"/>
      <c r="J92" s="28"/>
      <c r="N92" s="8">
        <v>0</v>
      </c>
      <c r="O92" s="9">
        <v>60</v>
      </c>
      <c r="P92" s="5" t="s">
        <v>16</v>
      </c>
      <c r="Q92" s="19"/>
      <c r="R92" s="17"/>
      <c r="U92" s="19"/>
      <c r="V92" s="17"/>
      <c r="Y92" s="19"/>
      <c r="Z92" s="17"/>
      <c r="AC92" s="19"/>
    </row>
    <row r="93" spans="2:29" x14ac:dyDescent="0.2">
      <c r="H93" s="28"/>
      <c r="I93" s="28"/>
      <c r="J93" s="28"/>
      <c r="Q93" s="19"/>
      <c r="R93" s="17"/>
      <c r="U93" s="19"/>
      <c r="V93" s="17"/>
      <c r="Y93" s="19"/>
      <c r="Z93" s="17"/>
      <c r="AC93" s="19"/>
    </row>
    <row r="94" spans="2:29" x14ac:dyDescent="0.2">
      <c r="B94" s="5" t="s">
        <v>53</v>
      </c>
      <c r="C94" s="5" t="s">
        <v>15</v>
      </c>
      <c r="D94" s="5" t="s">
        <v>16</v>
      </c>
      <c r="E94" s="5" t="s">
        <v>20</v>
      </c>
      <c r="F94" s="5" t="s">
        <v>188</v>
      </c>
      <c r="G94" s="5" t="s">
        <v>17</v>
      </c>
      <c r="H94" s="6">
        <v>23.522525163574201</v>
      </c>
      <c r="I94" s="28">
        <f>AVERAGE(H94:H96)</f>
        <v>23.494815532776233</v>
      </c>
      <c r="J94" s="28">
        <f>_xlfn.STDEV.S(H94:H96)</f>
        <v>2.6404360898694593E-2</v>
      </c>
      <c r="N94" s="8">
        <v>0</v>
      </c>
      <c r="O94" s="9">
        <v>60</v>
      </c>
      <c r="P94" s="5" t="s">
        <v>16</v>
      </c>
      <c r="Q94" s="19"/>
      <c r="R94" s="17"/>
      <c r="U94" s="19"/>
      <c r="V94" s="17"/>
      <c r="Y94" s="19"/>
      <c r="Z94" s="17"/>
      <c r="AC94" s="19"/>
    </row>
    <row r="95" spans="2:29" x14ac:dyDescent="0.2">
      <c r="B95" s="5" t="s">
        <v>54</v>
      </c>
      <c r="C95" s="5" t="s">
        <v>15</v>
      </c>
      <c r="D95" s="5" t="s">
        <v>16</v>
      </c>
      <c r="E95" s="5" t="s">
        <v>20</v>
      </c>
      <c r="F95" s="5" t="s">
        <v>188</v>
      </c>
      <c r="G95" s="5" t="s">
        <v>18</v>
      </c>
      <c r="H95" s="6">
        <v>23.469946065986999</v>
      </c>
      <c r="I95" s="28"/>
      <c r="J95" s="28"/>
      <c r="N95" s="8">
        <v>0</v>
      </c>
      <c r="O95" s="9">
        <v>60</v>
      </c>
      <c r="P95" s="5" t="s">
        <v>16</v>
      </c>
      <c r="Q95" s="19"/>
      <c r="R95" s="17"/>
      <c r="U95" s="19"/>
      <c r="V95" s="17"/>
      <c r="Y95" s="19"/>
      <c r="Z95" s="17"/>
      <c r="AC95" s="19"/>
    </row>
    <row r="96" spans="2:29" x14ac:dyDescent="0.2">
      <c r="B96" s="5" t="s">
        <v>55</v>
      </c>
      <c r="C96" s="5" t="s">
        <v>15</v>
      </c>
      <c r="D96" s="5" t="s">
        <v>16</v>
      </c>
      <c r="E96" s="5" t="s">
        <v>20</v>
      </c>
      <c r="F96" s="5" t="s">
        <v>188</v>
      </c>
      <c r="G96" s="5" t="s">
        <v>19</v>
      </c>
      <c r="H96" s="6">
        <v>23.491975368767498</v>
      </c>
      <c r="I96" s="28"/>
      <c r="J96" s="28"/>
      <c r="N96" s="8">
        <v>0</v>
      </c>
      <c r="O96" s="9">
        <v>60</v>
      </c>
      <c r="P96" s="5" t="s">
        <v>16</v>
      </c>
      <c r="Q96" s="19"/>
      <c r="R96" s="17"/>
      <c r="U96" s="19"/>
      <c r="V96" s="17"/>
      <c r="Y96" s="19"/>
      <c r="Z96" s="17"/>
      <c r="AC96" s="19"/>
    </row>
    <row r="97" spans="2:29" x14ac:dyDescent="0.2">
      <c r="H97" s="28"/>
      <c r="I97" s="28"/>
      <c r="J97" s="28"/>
      <c r="Q97" s="19"/>
      <c r="R97" s="17"/>
      <c r="U97" s="19"/>
      <c r="V97" s="17"/>
      <c r="Y97" s="19"/>
      <c r="Z97" s="17"/>
      <c r="AC97" s="19"/>
    </row>
    <row r="98" spans="2:29" x14ac:dyDescent="0.2">
      <c r="B98" s="5" t="s">
        <v>56</v>
      </c>
      <c r="C98" s="5" t="s">
        <v>15</v>
      </c>
      <c r="D98" s="5" t="s">
        <v>16</v>
      </c>
      <c r="E98" s="5" t="s">
        <v>20</v>
      </c>
      <c r="F98" s="5" t="s">
        <v>189</v>
      </c>
      <c r="G98" s="5" t="s">
        <v>17</v>
      </c>
      <c r="H98" s="6">
        <v>23.743185459238301</v>
      </c>
      <c r="I98" s="28">
        <f>AVERAGE(H98:H100)</f>
        <v>23.719477033361667</v>
      </c>
      <c r="J98" s="28">
        <f>_xlfn.STDEV.S(H98:H100)</f>
        <v>4.0580980026150841E-2</v>
      </c>
      <c r="N98" s="8">
        <v>0</v>
      </c>
      <c r="O98" s="9">
        <v>60</v>
      </c>
      <c r="P98" s="5" t="s">
        <v>16</v>
      </c>
      <c r="Q98" s="19"/>
      <c r="R98" s="17"/>
      <c r="U98" s="19"/>
      <c r="V98" s="17"/>
      <c r="Y98" s="19"/>
      <c r="Z98" s="17"/>
      <c r="AC98" s="19"/>
    </row>
    <row r="99" spans="2:29" x14ac:dyDescent="0.2">
      <c r="B99" s="5" t="s">
        <v>57</v>
      </c>
      <c r="C99" s="5" t="s">
        <v>15</v>
      </c>
      <c r="D99" s="5" t="s">
        <v>16</v>
      </c>
      <c r="E99" s="5" t="s">
        <v>20</v>
      </c>
      <c r="F99" s="5" t="s">
        <v>189</v>
      </c>
      <c r="G99" s="5" t="s">
        <v>18</v>
      </c>
      <c r="H99" s="6">
        <v>23.672619265650699</v>
      </c>
      <c r="I99" s="28"/>
      <c r="J99" s="28"/>
      <c r="N99" s="8">
        <v>0</v>
      </c>
      <c r="O99" s="9">
        <v>60</v>
      </c>
      <c r="P99" s="5" t="s">
        <v>16</v>
      </c>
      <c r="Q99" s="19"/>
      <c r="R99" s="17"/>
      <c r="U99" s="19"/>
      <c r="V99" s="17"/>
      <c r="Y99" s="19"/>
      <c r="Z99" s="17"/>
      <c r="AC99" s="19"/>
    </row>
    <row r="100" spans="2:29" x14ac:dyDescent="0.2">
      <c r="B100" s="5" t="s">
        <v>58</v>
      </c>
      <c r="C100" s="5" t="s">
        <v>15</v>
      </c>
      <c r="D100" s="5" t="s">
        <v>16</v>
      </c>
      <c r="E100" s="5" t="s">
        <v>20</v>
      </c>
      <c r="F100" s="5" t="s">
        <v>189</v>
      </c>
      <c r="G100" s="5" t="s">
        <v>19</v>
      </c>
      <c r="H100" s="6">
        <v>23.742626375196</v>
      </c>
      <c r="I100" s="28"/>
      <c r="J100" s="28"/>
      <c r="N100" s="8">
        <v>0</v>
      </c>
      <c r="O100" s="9">
        <v>60</v>
      </c>
      <c r="P100" s="5" t="s">
        <v>16</v>
      </c>
      <c r="Q100" s="19"/>
      <c r="R100" s="17"/>
      <c r="U100" s="19"/>
      <c r="V100" s="17"/>
      <c r="Y100" s="19"/>
      <c r="Z100" s="17"/>
      <c r="AC100" s="19"/>
    </row>
    <row r="101" spans="2:29" ht="19" x14ac:dyDescent="0.2">
      <c r="B101" s="11"/>
      <c r="C101" s="11"/>
      <c r="D101" s="11"/>
      <c r="E101" s="11"/>
      <c r="F101" s="11"/>
      <c r="G101" s="11"/>
      <c r="H101" s="29"/>
      <c r="I101" s="29"/>
      <c r="J101" s="29"/>
      <c r="K101" s="13"/>
      <c r="L101" s="12"/>
      <c r="M101" s="13"/>
      <c r="N101" s="13">
        <v>0</v>
      </c>
      <c r="O101" s="14">
        <v>60</v>
      </c>
      <c r="P101" s="11" t="s">
        <v>16</v>
      </c>
      <c r="Q101" s="20"/>
      <c r="R101" s="16"/>
      <c r="U101" s="20"/>
      <c r="V101" s="16"/>
      <c r="Y101" s="20"/>
      <c r="Z101" s="16"/>
      <c r="AC101" s="20"/>
    </row>
    <row r="102" spans="2:29" x14ac:dyDescent="0.2">
      <c r="B102" s="21"/>
      <c r="C102" s="21"/>
      <c r="D102" s="21"/>
      <c r="E102" s="21"/>
      <c r="F102" s="21"/>
      <c r="G102" s="21"/>
      <c r="H102" s="30"/>
      <c r="I102" s="30"/>
      <c r="J102" s="30"/>
      <c r="K102" s="21"/>
      <c r="L102" s="21"/>
      <c r="M102" s="21"/>
      <c r="N102" s="21">
        <v>0</v>
      </c>
      <c r="O102" s="21">
        <v>60</v>
      </c>
      <c r="P102" s="21" t="s">
        <v>16</v>
      </c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2:29" x14ac:dyDescent="0.2">
      <c r="B103" s="10"/>
      <c r="C103" s="10"/>
      <c r="D103" s="10"/>
      <c r="E103" s="10"/>
      <c r="F103" s="10"/>
      <c r="G103" s="10"/>
      <c r="H103" s="28"/>
      <c r="I103" s="28"/>
      <c r="J103" s="28"/>
      <c r="K103" s="10"/>
      <c r="L103" s="10"/>
      <c r="M103" s="10"/>
      <c r="N103" s="10"/>
      <c r="O103" s="10"/>
      <c r="P103" s="10"/>
      <c r="Q103" s="19"/>
      <c r="R103" s="17"/>
      <c r="U103" s="19"/>
      <c r="V103" s="17"/>
      <c r="Y103" s="19"/>
      <c r="Z103" s="17"/>
      <c r="AC103" s="19"/>
    </row>
    <row r="104" spans="2:29" x14ac:dyDescent="0.2">
      <c r="B104" s="5" t="s">
        <v>59</v>
      </c>
      <c r="C104" s="5" t="s">
        <v>15</v>
      </c>
      <c r="D104" s="5" t="s">
        <v>16</v>
      </c>
      <c r="E104" s="5" t="s">
        <v>20</v>
      </c>
      <c r="F104" s="5" t="s">
        <v>190</v>
      </c>
      <c r="G104" s="5" t="s">
        <v>17</v>
      </c>
      <c r="H104" s="6">
        <v>25.2138680824674</v>
      </c>
      <c r="I104" s="28">
        <f>AVERAGE(H104:H106)</f>
        <v>25.290977077082534</v>
      </c>
      <c r="J104" s="28">
        <f>_xlfn.STDEV.S(H104:H106)</f>
        <v>6.739136151046364E-2</v>
      </c>
      <c r="N104" s="8">
        <v>0</v>
      </c>
      <c r="O104" s="9">
        <v>60</v>
      </c>
      <c r="P104" s="5" t="s">
        <v>16</v>
      </c>
      <c r="Q104" s="19"/>
      <c r="R104" s="17"/>
      <c r="U104" s="19"/>
      <c r="V104" s="17"/>
      <c r="Y104" s="19"/>
      <c r="Z104" s="17"/>
      <c r="AC104" s="19"/>
    </row>
    <row r="105" spans="2:29" x14ac:dyDescent="0.2">
      <c r="B105" s="5" t="s">
        <v>60</v>
      </c>
      <c r="C105" s="5" t="s">
        <v>15</v>
      </c>
      <c r="D105" s="5" t="s">
        <v>16</v>
      </c>
      <c r="E105" s="5" t="s">
        <v>20</v>
      </c>
      <c r="F105" s="5" t="s">
        <v>190</v>
      </c>
      <c r="G105" s="5" t="s">
        <v>18</v>
      </c>
      <c r="H105" s="6">
        <v>25.3204625160974</v>
      </c>
      <c r="I105" s="28"/>
      <c r="J105" s="28"/>
      <c r="Q105" s="19"/>
      <c r="R105" s="17"/>
      <c r="U105" s="19"/>
      <c r="V105" s="17"/>
      <c r="Y105" s="19"/>
      <c r="Z105" s="17"/>
      <c r="AC105" s="19"/>
    </row>
    <row r="106" spans="2:29" x14ac:dyDescent="0.2">
      <c r="B106" s="5" t="s">
        <v>61</v>
      </c>
      <c r="C106" s="5" t="s">
        <v>15</v>
      </c>
      <c r="D106" s="5" t="s">
        <v>16</v>
      </c>
      <c r="E106" s="5" t="s">
        <v>20</v>
      </c>
      <c r="F106" s="5" t="s">
        <v>190</v>
      </c>
      <c r="G106" s="5" t="s">
        <v>19</v>
      </c>
      <c r="H106" s="6">
        <v>25.338600632682802</v>
      </c>
      <c r="I106" s="28"/>
      <c r="J106" s="28"/>
      <c r="Q106" s="19"/>
      <c r="R106" s="17"/>
      <c r="U106" s="19"/>
      <c r="V106" s="17"/>
      <c r="Y106" s="19"/>
      <c r="Z106" s="17"/>
      <c r="AC106" s="19"/>
    </row>
    <row r="107" spans="2:29" x14ac:dyDescent="0.2">
      <c r="H107" s="28"/>
      <c r="I107" s="28"/>
      <c r="J107" s="28"/>
      <c r="N107" s="8">
        <v>0</v>
      </c>
      <c r="O107" s="9">
        <v>60</v>
      </c>
      <c r="P107" s="5" t="s">
        <v>16</v>
      </c>
      <c r="Q107" s="19"/>
      <c r="R107" s="17"/>
      <c r="U107" s="19"/>
      <c r="V107" s="17"/>
      <c r="Y107" s="19"/>
      <c r="Z107" s="17"/>
      <c r="AC107" s="19"/>
    </row>
    <row r="108" spans="2:29" x14ac:dyDescent="0.2">
      <c r="B108" s="5" t="s">
        <v>62</v>
      </c>
      <c r="C108" s="5" t="s">
        <v>15</v>
      </c>
      <c r="D108" s="5" t="s">
        <v>16</v>
      </c>
      <c r="E108" s="5" t="s">
        <v>20</v>
      </c>
      <c r="F108" s="5" t="s">
        <v>191</v>
      </c>
      <c r="G108" s="5" t="s">
        <v>17</v>
      </c>
      <c r="H108" s="6">
        <v>26.177738692960698</v>
      </c>
      <c r="I108" s="28">
        <f>AVERAGE(H108:H110)</f>
        <v>26.112783574636865</v>
      </c>
      <c r="J108" s="28">
        <f>_xlfn.STDEV.S(H108:H110)</f>
        <v>7.1657606274422178E-2</v>
      </c>
      <c r="N108" s="8">
        <v>0</v>
      </c>
      <c r="O108" s="9">
        <v>60</v>
      </c>
      <c r="P108" s="5" t="s">
        <v>16</v>
      </c>
      <c r="Q108" s="19"/>
      <c r="R108" s="17"/>
      <c r="U108" s="19"/>
      <c r="V108" s="17"/>
      <c r="Y108" s="19"/>
      <c r="Z108" s="17"/>
      <c r="AC108" s="19"/>
    </row>
    <row r="109" spans="2:29" x14ac:dyDescent="0.2">
      <c r="B109" s="5" t="s">
        <v>63</v>
      </c>
      <c r="C109" s="5" t="s">
        <v>15</v>
      </c>
      <c r="D109" s="5" t="s">
        <v>16</v>
      </c>
      <c r="E109" s="5" t="s">
        <v>20</v>
      </c>
      <c r="F109" s="5" t="s">
        <v>191</v>
      </c>
      <c r="G109" s="5" t="s">
        <v>18</v>
      </c>
      <c r="H109" s="6">
        <v>26.035916410952801</v>
      </c>
      <c r="I109" s="28"/>
      <c r="J109" s="28"/>
      <c r="N109" s="8">
        <v>0</v>
      </c>
      <c r="O109" s="9">
        <v>60</v>
      </c>
      <c r="P109" s="5" t="s">
        <v>16</v>
      </c>
      <c r="Q109" s="19"/>
      <c r="R109" s="17"/>
      <c r="U109" s="19"/>
      <c r="V109" s="17"/>
      <c r="Y109" s="19"/>
      <c r="Z109" s="17"/>
      <c r="AC109" s="19"/>
    </row>
    <row r="110" spans="2:29" x14ac:dyDescent="0.2">
      <c r="B110" s="5" t="s">
        <v>64</v>
      </c>
      <c r="C110" s="5" t="s">
        <v>15</v>
      </c>
      <c r="D110" s="5" t="s">
        <v>16</v>
      </c>
      <c r="E110" s="5" t="s">
        <v>20</v>
      </c>
      <c r="F110" s="5" t="s">
        <v>191</v>
      </c>
      <c r="G110" s="5" t="s">
        <v>19</v>
      </c>
      <c r="H110" s="6">
        <v>26.124695619997102</v>
      </c>
      <c r="I110" s="28"/>
      <c r="J110" s="28"/>
      <c r="N110" s="8">
        <v>0</v>
      </c>
      <c r="O110" s="9">
        <v>60</v>
      </c>
      <c r="P110" s="5" t="s">
        <v>16</v>
      </c>
      <c r="Q110" s="19"/>
      <c r="R110" s="17"/>
      <c r="U110" s="19"/>
      <c r="V110" s="17"/>
      <c r="Y110" s="19"/>
      <c r="Z110" s="17"/>
      <c r="AC110" s="19"/>
    </row>
    <row r="111" spans="2:29" x14ac:dyDescent="0.2">
      <c r="H111" s="28"/>
      <c r="I111" s="28"/>
      <c r="J111" s="28"/>
      <c r="N111" s="8">
        <v>0</v>
      </c>
      <c r="O111" s="9">
        <v>60</v>
      </c>
      <c r="P111" s="5" t="s">
        <v>16</v>
      </c>
      <c r="Q111" s="19"/>
      <c r="R111" s="17"/>
      <c r="U111" s="19"/>
      <c r="V111" s="17"/>
      <c r="Y111" s="19"/>
      <c r="Z111" s="17"/>
      <c r="AC111" s="19"/>
    </row>
    <row r="112" spans="2:29" x14ac:dyDescent="0.2">
      <c r="B112" s="5" t="s">
        <v>65</v>
      </c>
      <c r="C112" s="5" t="s">
        <v>15</v>
      </c>
      <c r="D112" s="5" t="s">
        <v>16</v>
      </c>
      <c r="E112" s="5" t="s">
        <v>20</v>
      </c>
      <c r="F112" s="5" t="s">
        <v>192</v>
      </c>
      <c r="G112" s="5" t="s">
        <v>17</v>
      </c>
      <c r="H112" s="6">
        <v>25.569366220639299</v>
      </c>
      <c r="I112" s="28">
        <f>AVERAGE(H112:H114)</f>
        <v>25.512845323921368</v>
      </c>
      <c r="J112" s="28">
        <f>_xlfn.STDEV.S(H112:H114)</f>
        <v>9.0072130860131674E-2</v>
      </c>
      <c r="N112" s="8">
        <v>0</v>
      </c>
      <c r="O112" s="9">
        <v>60</v>
      </c>
      <c r="P112" s="5" t="s">
        <v>16</v>
      </c>
      <c r="Q112" s="19"/>
      <c r="R112" s="17"/>
      <c r="U112" s="19"/>
      <c r="V112" s="17"/>
      <c r="Y112" s="19"/>
      <c r="Z112" s="17"/>
      <c r="AC112" s="19"/>
    </row>
    <row r="113" spans="2:29" x14ac:dyDescent="0.2">
      <c r="B113" s="5" t="s">
        <v>66</v>
      </c>
      <c r="C113" s="5" t="s">
        <v>15</v>
      </c>
      <c r="D113" s="5" t="s">
        <v>16</v>
      </c>
      <c r="E113" s="5" t="s">
        <v>20</v>
      </c>
      <c r="F113" s="5" t="s">
        <v>192</v>
      </c>
      <c r="G113" s="5" t="s">
        <v>18</v>
      </c>
      <c r="H113" s="6">
        <v>25.408973831836398</v>
      </c>
      <c r="I113" s="28"/>
      <c r="J113" s="28"/>
      <c r="N113" s="8">
        <v>0</v>
      </c>
      <c r="O113" s="9">
        <v>60</v>
      </c>
      <c r="P113" s="5" t="s">
        <v>16</v>
      </c>
      <c r="Q113" s="19"/>
      <c r="R113" s="17"/>
      <c r="U113" s="19"/>
      <c r="V113" s="17"/>
      <c r="Y113" s="19"/>
      <c r="Z113" s="17"/>
      <c r="AC113" s="19"/>
    </row>
    <row r="114" spans="2:29" x14ac:dyDescent="0.2">
      <c r="B114" s="5" t="s">
        <v>67</v>
      </c>
      <c r="C114" s="5" t="s">
        <v>15</v>
      </c>
      <c r="D114" s="5" t="s">
        <v>16</v>
      </c>
      <c r="E114" s="5" t="s">
        <v>20</v>
      </c>
      <c r="F114" s="5" t="s">
        <v>192</v>
      </c>
      <c r="G114" s="5" t="s">
        <v>19</v>
      </c>
      <c r="H114" s="6">
        <v>25.5601959192884</v>
      </c>
      <c r="I114" s="28"/>
      <c r="J114" s="28"/>
      <c r="N114" s="8">
        <v>0</v>
      </c>
      <c r="O114" s="9">
        <v>60</v>
      </c>
      <c r="P114" s="5" t="s">
        <v>16</v>
      </c>
      <c r="Q114" s="19"/>
      <c r="R114" s="17"/>
      <c r="U114" s="19"/>
      <c r="V114" s="17"/>
      <c r="Y114" s="19"/>
      <c r="Z114" s="17"/>
      <c r="AC114" s="19"/>
    </row>
    <row r="115" spans="2:29" x14ac:dyDescent="0.2">
      <c r="B115" s="10"/>
      <c r="C115" s="10"/>
      <c r="D115" s="10"/>
      <c r="E115" s="10"/>
      <c r="F115" s="10"/>
      <c r="H115" s="28"/>
      <c r="I115" s="28"/>
      <c r="J115" s="28"/>
      <c r="N115" s="8">
        <v>0</v>
      </c>
      <c r="O115" s="9">
        <v>60</v>
      </c>
      <c r="P115" s="5" t="s">
        <v>16</v>
      </c>
      <c r="Q115" s="19"/>
      <c r="R115" s="17"/>
      <c r="U115" s="19"/>
      <c r="V115" s="17"/>
      <c r="Y115" s="19"/>
      <c r="Z115" s="17"/>
      <c r="AC115" s="19"/>
    </row>
    <row r="116" spans="2:29" x14ac:dyDescent="0.2">
      <c r="B116" s="5" t="s">
        <v>68</v>
      </c>
      <c r="C116" s="5" t="s">
        <v>15</v>
      </c>
      <c r="D116" s="5" t="s">
        <v>16</v>
      </c>
      <c r="E116" s="5" t="s">
        <v>20</v>
      </c>
      <c r="F116" s="5" t="s">
        <v>193</v>
      </c>
      <c r="G116" s="5" t="s">
        <v>17</v>
      </c>
      <c r="H116" s="6">
        <v>24.010241639437201</v>
      </c>
      <c r="I116" s="28">
        <f>AVERAGE(H116:H118)</f>
        <v>24.006430432105702</v>
      </c>
      <c r="J116" s="28">
        <f>_xlfn.STDEV.S(H116:H118)</f>
        <v>5.739299925840996E-2</v>
      </c>
      <c r="N116" s="8">
        <v>0</v>
      </c>
      <c r="O116" s="9">
        <v>60</v>
      </c>
      <c r="P116" s="5" t="s">
        <v>16</v>
      </c>
      <c r="Q116" s="19"/>
      <c r="R116" s="17"/>
      <c r="U116" s="19"/>
      <c r="V116" s="17"/>
      <c r="Y116" s="19"/>
      <c r="Z116" s="17"/>
      <c r="AC116" s="19"/>
    </row>
    <row r="117" spans="2:29" x14ac:dyDescent="0.2">
      <c r="B117" s="5" t="s">
        <v>69</v>
      </c>
      <c r="C117" s="5" t="s">
        <v>15</v>
      </c>
      <c r="D117" s="5" t="s">
        <v>16</v>
      </c>
      <c r="E117" s="5" t="s">
        <v>20</v>
      </c>
      <c r="F117" s="5" t="s">
        <v>193</v>
      </c>
      <c r="G117" s="5" t="s">
        <v>18</v>
      </c>
      <c r="H117" s="6">
        <v>24.0618228422614</v>
      </c>
      <c r="I117" s="28"/>
      <c r="J117" s="28"/>
      <c r="N117" s="8">
        <v>0</v>
      </c>
      <c r="O117" s="9">
        <v>60</v>
      </c>
      <c r="P117" s="5" t="s">
        <v>16</v>
      </c>
      <c r="Q117" s="19"/>
      <c r="R117" s="17"/>
      <c r="U117" s="19"/>
      <c r="V117" s="17"/>
      <c r="Y117" s="19"/>
      <c r="Z117" s="17"/>
      <c r="AC117" s="19"/>
    </row>
    <row r="118" spans="2:29" x14ac:dyDescent="0.2">
      <c r="B118" s="5" t="s">
        <v>70</v>
      </c>
      <c r="C118" s="5" t="s">
        <v>15</v>
      </c>
      <c r="D118" s="5" t="s">
        <v>16</v>
      </c>
      <c r="E118" s="5" t="s">
        <v>20</v>
      </c>
      <c r="F118" s="5" t="s">
        <v>193</v>
      </c>
      <c r="G118" s="5" t="s">
        <v>19</v>
      </c>
      <c r="H118" s="6">
        <v>23.947226814618499</v>
      </c>
      <c r="I118" s="28"/>
      <c r="J118" s="28"/>
      <c r="N118" s="8">
        <v>0</v>
      </c>
      <c r="O118" s="9">
        <v>60</v>
      </c>
      <c r="P118" s="5" t="s">
        <v>16</v>
      </c>
      <c r="Q118" s="19"/>
      <c r="R118" s="17"/>
      <c r="U118" s="19"/>
      <c r="V118" s="17"/>
      <c r="Y118" s="19"/>
      <c r="Z118" s="17"/>
      <c r="AC118" s="19"/>
    </row>
    <row r="119" spans="2:29" x14ac:dyDescent="0.2">
      <c r="C119" s="10"/>
      <c r="D119" s="10"/>
      <c r="E119" s="10"/>
      <c r="F119" s="10"/>
      <c r="H119" s="28"/>
      <c r="I119" s="28"/>
      <c r="J119" s="28"/>
      <c r="N119" s="8">
        <v>0</v>
      </c>
      <c r="O119" s="9">
        <v>60</v>
      </c>
      <c r="P119" s="5" t="s">
        <v>16</v>
      </c>
      <c r="Q119" s="19"/>
      <c r="R119" s="17"/>
      <c r="U119" s="19"/>
      <c r="V119" s="17"/>
      <c r="Y119" s="19"/>
      <c r="Z119" s="17"/>
      <c r="AC119" s="19"/>
    </row>
    <row r="120" spans="2:29" x14ac:dyDescent="0.2">
      <c r="B120" s="5" t="s">
        <v>71</v>
      </c>
      <c r="C120" s="5" t="s">
        <v>15</v>
      </c>
      <c r="D120" s="5" t="s">
        <v>16</v>
      </c>
      <c r="E120" s="5" t="s">
        <v>20</v>
      </c>
      <c r="F120" s="5" t="s">
        <v>194</v>
      </c>
      <c r="G120" s="5" t="s">
        <v>17</v>
      </c>
      <c r="H120" s="6">
        <v>21.249045211802901</v>
      </c>
      <c r="I120" s="28">
        <f>AVERAGE(H120:H122)</f>
        <v>21.3052417535358</v>
      </c>
      <c r="J120" s="28">
        <f>_xlfn.STDEV.S(H120:H122)</f>
        <v>7.0136303394895932E-2</v>
      </c>
      <c r="N120" s="8">
        <v>0</v>
      </c>
      <c r="O120" s="9">
        <v>60</v>
      </c>
      <c r="P120" s="5" t="s">
        <v>16</v>
      </c>
      <c r="Q120" s="19"/>
      <c r="R120" s="17"/>
      <c r="U120" s="19"/>
      <c r="V120" s="17"/>
      <c r="Y120" s="19"/>
      <c r="Z120" s="17"/>
      <c r="AC120" s="19"/>
    </row>
    <row r="121" spans="2:29" x14ac:dyDescent="0.2">
      <c r="B121" s="5" t="s">
        <v>72</v>
      </c>
      <c r="C121" s="5" t="s">
        <v>15</v>
      </c>
      <c r="D121" s="5" t="s">
        <v>16</v>
      </c>
      <c r="E121" s="5" t="s">
        <v>20</v>
      </c>
      <c r="F121" s="5" t="s">
        <v>194</v>
      </c>
      <c r="G121" s="5" t="s">
        <v>18</v>
      </c>
      <c r="H121" s="6">
        <v>21.282836929676801</v>
      </c>
      <c r="I121" s="28"/>
      <c r="J121" s="28"/>
      <c r="N121" s="8">
        <v>0</v>
      </c>
      <c r="O121" s="9">
        <v>60</v>
      </c>
      <c r="P121" s="5" t="s">
        <v>16</v>
      </c>
      <c r="Q121" s="19"/>
      <c r="R121" s="17"/>
      <c r="U121" s="19"/>
      <c r="V121" s="17"/>
      <c r="Y121" s="19"/>
      <c r="Z121" s="17"/>
      <c r="AC121" s="19"/>
    </row>
    <row r="122" spans="2:29" x14ac:dyDescent="0.2">
      <c r="B122" s="5" t="s">
        <v>73</v>
      </c>
      <c r="C122" s="5" t="s">
        <v>15</v>
      </c>
      <c r="D122" s="5" t="s">
        <v>16</v>
      </c>
      <c r="E122" s="5" t="s">
        <v>20</v>
      </c>
      <c r="F122" s="5" t="s">
        <v>194</v>
      </c>
      <c r="G122" s="5" t="s">
        <v>19</v>
      </c>
      <c r="H122" s="6">
        <v>21.3838431191277</v>
      </c>
      <c r="I122" s="28"/>
      <c r="J122" s="28"/>
      <c r="N122" s="8">
        <v>0</v>
      </c>
      <c r="O122" s="9">
        <v>60</v>
      </c>
      <c r="P122" s="5" t="s">
        <v>16</v>
      </c>
      <c r="Q122" s="19"/>
      <c r="R122" s="17"/>
      <c r="U122" s="19"/>
      <c r="V122" s="17"/>
      <c r="Y122" s="19"/>
      <c r="Z122" s="17"/>
      <c r="AC122" s="19"/>
    </row>
    <row r="123" spans="2:29" x14ac:dyDescent="0.2">
      <c r="H123" s="28"/>
      <c r="I123" s="28"/>
      <c r="J123" s="28"/>
      <c r="Q123" s="19"/>
      <c r="R123" s="17"/>
      <c r="U123" s="19"/>
      <c r="V123" s="17"/>
      <c r="Y123" s="19"/>
      <c r="Z123" s="17"/>
      <c r="AC123" s="19"/>
    </row>
    <row r="124" spans="2:29" x14ac:dyDescent="0.2">
      <c r="B124" s="5" t="s">
        <v>74</v>
      </c>
      <c r="C124" s="5" t="s">
        <v>15</v>
      </c>
      <c r="D124" s="5" t="s">
        <v>16</v>
      </c>
      <c r="E124" s="5" t="s">
        <v>20</v>
      </c>
      <c r="F124" s="5" t="s">
        <v>195</v>
      </c>
      <c r="G124" s="5" t="s">
        <v>17</v>
      </c>
      <c r="H124" s="6">
        <v>24.674108023025301</v>
      </c>
      <c r="I124" s="28">
        <f>AVERAGE(H124:H126)</f>
        <v>24.582267664268301</v>
      </c>
      <c r="J124" s="28">
        <f>_xlfn.STDEV.S(H124:H126)</f>
        <v>8.3724041926038273E-2</v>
      </c>
      <c r="N124" s="8">
        <v>0</v>
      </c>
      <c r="O124" s="9">
        <v>60</v>
      </c>
      <c r="P124" s="5" t="s">
        <v>16</v>
      </c>
      <c r="Q124" s="19"/>
      <c r="R124" s="17"/>
      <c r="U124" s="19"/>
      <c r="V124" s="17"/>
      <c r="Y124" s="19"/>
      <c r="Z124" s="17"/>
      <c r="AC124" s="19"/>
    </row>
    <row r="125" spans="2:29" x14ac:dyDescent="0.2">
      <c r="B125" s="5" t="s">
        <v>75</v>
      </c>
      <c r="C125" s="5" t="s">
        <v>15</v>
      </c>
      <c r="D125" s="5" t="s">
        <v>16</v>
      </c>
      <c r="E125" s="5" t="s">
        <v>20</v>
      </c>
      <c r="F125" s="5" t="s">
        <v>195</v>
      </c>
      <c r="G125" s="5" t="s">
        <v>18</v>
      </c>
      <c r="H125" s="6">
        <v>24.510199319103801</v>
      </c>
      <c r="I125" s="28"/>
      <c r="J125" s="28"/>
      <c r="N125" s="8">
        <v>0</v>
      </c>
      <c r="O125" s="9">
        <v>60</v>
      </c>
      <c r="P125" s="5" t="s">
        <v>16</v>
      </c>
      <c r="Q125" s="19"/>
      <c r="R125" s="17"/>
      <c r="U125" s="19"/>
      <c r="V125" s="17"/>
      <c r="Y125" s="19"/>
      <c r="Z125" s="17"/>
      <c r="AC125" s="19"/>
    </row>
    <row r="126" spans="2:29" x14ac:dyDescent="0.2">
      <c r="B126" s="5" t="s">
        <v>76</v>
      </c>
      <c r="C126" s="5" t="s">
        <v>15</v>
      </c>
      <c r="D126" s="5" t="s">
        <v>16</v>
      </c>
      <c r="E126" s="5" t="s">
        <v>20</v>
      </c>
      <c r="F126" s="5" t="s">
        <v>195</v>
      </c>
      <c r="G126" s="5" t="s">
        <v>19</v>
      </c>
      <c r="H126" s="6">
        <v>24.5624956506758</v>
      </c>
      <c r="I126" s="28"/>
      <c r="J126" s="28"/>
      <c r="N126" s="8">
        <v>0</v>
      </c>
      <c r="O126" s="9">
        <v>60</v>
      </c>
      <c r="P126" s="5" t="s">
        <v>16</v>
      </c>
      <c r="Q126" s="19"/>
      <c r="R126" s="17"/>
      <c r="U126" s="19"/>
      <c r="V126" s="17"/>
      <c r="Y126" s="19"/>
      <c r="Z126" s="17"/>
      <c r="AC126" s="19"/>
    </row>
    <row r="127" spans="2:29" x14ac:dyDescent="0.2">
      <c r="H127" s="28"/>
      <c r="I127" s="28"/>
      <c r="J127" s="28"/>
      <c r="Q127" s="19"/>
      <c r="R127" s="17"/>
      <c r="U127" s="19"/>
      <c r="V127" s="17"/>
      <c r="Y127" s="19"/>
      <c r="Z127" s="17"/>
      <c r="AC127" s="19"/>
    </row>
    <row r="128" spans="2:29" x14ac:dyDescent="0.2">
      <c r="B128" s="5" t="s">
        <v>313</v>
      </c>
      <c r="C128" s="5" t="s">
        <v>15</v>
      </c>
      <c r="D128" s="5" t="s">
        <v>16</v>
      </c>
      <c r="E128" s="5" t="s">
        <v>20</v>
      </c>
      <c r="F128" s="5" t="s">
        <v>196</v>
      </c>
      <c r="G128" s="5" t="s">
        <v>17</v>
      </c>
      <c r="H128" s="6">
        <v>23.777505361890402</v>
      </c>
      <c r="I128" s="28">
        <f>AVERAGE(H128:H130)</f>
        <v>23.986324016038566</v>
      </c>
      <c r="J128" s="28">
        <f>_xlfn.STDEV.S(H128:H130)</f>
        <v>0.18173782194567861</v>
      </c>
      <c r="N128" s="8">
        <v>0</v>
      </c>
      <c r="O128" s="9">
        <v>60</v>
      </c>
      <c r="P128" s="5" t="s">
        <v>16</v>
      </c>
      <c r="Q128" s="19"/>
      <c r="R128" s="17"/>
      <c r="U128" s="19"/>
      <c r="V128" s="17"/>
      <c r="Y128" s="19"/>
      <c r="Z128" s="17"/>
      <c r="AC128" s="19"/>
    </row>
    <row r="129" spans="2:29" x14ac:dyDescent="0.2">
      <c r="B129" s="5" t="s">
        <v>314</v>
      </c>
      <c r="C129" s="5" t="s">
        <v>15</v>
      </c>
      <c r="D129" s="5" t="s">
        <v>16</v>
      </c>
      <c r="E129" s="5" t="s">
        <v>20</v>
      </c>
      <c r="F129" s="5" t="s">
        <v>196</v>
      </c>
      <c r="G129" s="5" t="s">
        <v>18</v>
      </c>
      <c r="H129" s="6">
        <v>24.072713543297699</v>
      </c>
      <c r="I129" s="28"/>
      <c r="J129" s="28"/>
      <c r="N129" s="8">
        <v>0</v>
      </c>
      <c r="O129" s="9">
        <v>60</v>
      </c>
      <c r="P129" s="5" t="s">
        <v>16</v>
      </c>
      <c r="Q129" s="19"/>
      <c r="R129" s="17"/>
      <c r="U129" s="19"/>
      <c r="V129" s="17"/>
      <c r="Y129" s="19"/>
      <c r="Z129" s="17"/>
      <c r="AC129" s="19"/>
    </row>
    <row r="130" spans="2:29" x14ac:dyDescent="0.2">
      <c r="B130" s="5" t="s">
        <v>315</v>
      </c>
      <c r="C130" s="5" t="s">
        <v>15</v>
      </c>
      <c r="D130" s="5" t="s">
        <v>16</v>
      </c>
      <c r="E130" s="5" t="s">
        <v>20</v>
      </c>
      <c r="F130" s="5" t="s">
        <v>196</v>
      </c>
      <c r="G130" s="5" t="s">
        <v>19</v>
      </c>
      <c r="H130" s="6">
        <v>24.108753142927601</v>
      </c>
      <c r="I130" s="28"/>
      <c r="J130" s="28"/>
      <c r="N130" s="8">
        <v>0</v>
      </c>
      <c r="O130" s="9">
        <v>60</v>
      </c>
      <c r="P130" s="5" t="s">
        <v>16</v>
      </c>
      <c r="Q130" s="19"/>
      <c r="R130" s="17"/>
      <c r="U130" s="19"/>
      <c r="V130" s="17"/>
      <c r="Y130" s="19"/>
      <c r="Z130" s="17"/>
      <c r="AC130" s="19"/>
    </row>
    <row r="131" spans="2:29" x14ac:dyDescent="0.2">
      <c r="H131" s="28"/>
      <c r="I131" s="28"/>
      <c r="J131" s="28"/>
      <c r="Q131" s="19"/>
      <c r="R131" s="17"/>
      <c r="U131" s="19"/>
      <c r="V131" s="17"/>
      <c r="Y131" s="19"/>
      <c r="Z131" s="17"/>
      <c r="AC131" s="19"/>
    </row>
    <row r="132" spans="2:29" x14ac:dyDescent="0.2">
      <c r="B132" s="5" t="s">
        <v>316</v>
      </c>
      <c r="C132" s="5" t="s">
        <v>15</v>
      </c>
      <c r="D132" s="5" t="s">
        <v>16</v>
      </c>
      <c r="E132" s="5" t="s">
        <v>20</v>
      </c>
      <c r="F132" s="5" t="s">
        <v>197</v>
      </c>
      <c r="G132" s="5" t="s">
        <v>17</v>
      </c>
      <c r="H132" s="6">
        <v>23.186257174656799</v>
      </c>
      <c r="I132" s="28">
        <f>AVERAGE(H132:H134)</f>
        <v>23.138931399941868</v>
      </c>
      <c r="J132" s="28">
        <f>_xlfn.STDEV.S(H132:H134)</f>
        <v>4.522160049560469E-2</v>
      </c>
      <c r="N132" s="8">
        <v>0</v>
      </c>
      <c r="O132" s="9">
        <v>60</v>
      </c>
      <c r="P132" s="5" t="s">
        <v>16</v>
      </c>
      <c r="Q132" s="19"/>
      <c r="R132" s="17"/>
      <c r="U132" s="19"/>
      <c r="V132" s="17"/>
      <c r="Y132" s="19"/>
      <c r="Z132" s="17"/>
      <c r="AC132" s="19"/>
    </row>
    <row r="133" spans="2:29" x14ac:dyDescent="0.2">
      <c r="B133" s="5" t="s">
        <v>317</v>
      </c>
      <c r="C133" s="5" t="s">
        <v>15</v>
      </c>
      <c r="D133" s="5" t="s">
        <v>16</v>
      </c>
      <c r="E133" s="5" t="s">
        <v>20</v>
      </c>
      <c r="F133" s="5" t="s">
        <v>197</v>
      </c>
      <c r="G133" s="5" t="s">
        <v>18</v>
      </c>
      <c r="H133" s="6">
        <v>23.096158399107299</v>
      </c>
      <c r="I133" s="28"/>
      <c r="J133" s="28"/>
      <c r="N133" s="8">
        <v>0</v>
      </c>
      <c r="O133" s="9">
        <v>60</v>
      </c>
      <c r="P133" s="5" t="s">
        <v>16</v>
      </c>
      <c r="Q133" s="19"/>
      <c r="R133" s="17"/>
      <c r="U133" s="19"/>
      <c r="V133" s="17"/>
      <c r="Y133" s="19"/>
      <c r="Z133" s="17"/>
      <c r="AC133" s="19"/>
    </row>
    <row r="134" spans="2:29" x14ac:dyDescent="0.2">
      <c r="B134" s="5" t="s">
        <v>318</v>
      </c>
      <c r="C134" s="5" t="s">
        <v>15</v>
      </c>
      <c r="D134" s="5" t="s">
        <v>16</v>
      </c>
      <c r="E134" s="5" t="s">
        <v>20</v>
      </c>
      <c r="F134" s="5" t="s">
        <v>197</v>
      </c>
      <c r="G134" s="5" t="s">
        <v>19</v>
      </c>
      <c r="H134" s="6">
        <v>23.134378626061501</v>
      </c>
      <c r="I134" s="28"/>
      <c r="J134" s="28"/>
      <c r="N134" s="8">
        <v>0</v>
      </c>
      <c r="O134" s="9">
        <v>60</v>
      </c>
      <c r="P134" s="5" t="s">
        <v>16</v>
      </c>
      <c r="Q134" s="19"/>
      <c r="R134" s="17"/>
      <c r="U134" s="19"/>
      <c r="V134" s="17"/>
      <c r="Y134" s="19"/>
      <c r="Z134" s="17"/>
      <c r="AC134" s="19"/>
    </row>
    <row r="135" spans="2:29" x14ac:dyDescent="0.2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</sheetData>
  <conditionalFormatting sqref="R2:R30">
    <cfRule type="cellIs" dxfId="17" priority="8" operator="greaterThanOrEqual">
      <formula>1</formula>
    </cfRule>
    <cfRule type="cellIs" dxfId="16" priority="6" operator="between">
      <formula>0.0001</formula>
      <formula>0.9</formula>
    </cfRule>
    <cfRule type="cellIs" dxfId="15" priority="3" operator="between">
      <formula>0.9</formula>
      <formula>1</formula>
    </cfRule>
  </conditionalFormatting>
  <conditionalFormatting sqref="V2:V30">
    <cfRule type="cellIs" dxfId="14" priority="4" operator="between">
      <formula>0.0001</formula>
      <formula>0.9</formula>
    </cfRule>
    <cfRule type="cellIs" dxfId="13" priority="9" operator="greaterThanOrEqual">
      <formula>1</formula>
    </cfRule>
    <cfRule type="cellIs" dxfId="12" priority="1" operator="between">
      <formula>0.9</formula>
      <formula>1</formula>
    </cfRule>
  </conditionalFormatting>
  <conditionalFormatting sqref="Z2:Z30">
    <cfRule type="cellIs" dxfId="11" priority="2" operator="between">
      <formula>0.9</formula>
      <formula>1</formula>
    </cfRule>
    <cfRule type="cellIs" dxfId="10" priority="7" operator="greaterThanOrEqual">
      <formula>1</formula>
    </cfRule>
    <cfRule type="cellIs" dxfId="9" priority="5" operator="between">
      <formula>0.0001</formula>
      <formula>0.9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E6A0-318C-B145-96CB-3A7AF6A2672C}">
  <dimension ref="A1:AC135"/>
  <sheetViews>
    <sheetView tabSelected="1" workbookViewId="0">
      <pane ySplit="1" topLeftCell="A2" activePane="bottomLeft" state="frozen"/>
      <selection pane="bottomLeft" activeCell="I31" sqref="I31"/>
    </sheetView>
  </sheetViews>
  <sheetFormatPr baseColWidth="10" defaultColWidth="6.6640625" defaultRowHeight="16" x14ac:dyDescent="0.2"/>
  <cols>
    <col min="1" max="1" width="1" style="4" customWidth="1"/>
    <col min="2" max="3" width="6.6640625" style="5"/>
    <col min="4" max="4" width="8.83203125" style="5" customWidth="1"/>
    <col min="5" max="5" width="8.33203125" style="5" bestFit="1" customWidth="1"/>
    <col min="6" max="6" width="16.33203125" style="5" bestFit="1" customWidth="1"/>
    <col min="7" max="7" width="20.1640625" style="5" bestFit="1" customWidth="1"/>
    <col min="8" max="8" width="10" style="6" customWidth="1"/>
    <col min="9" max="9" width="8.83203125" style="6" customWidth="1"/>
    <col min="10" max="10" width="10" style="7" customWidth="1"/>
    <col min="11" max="11" width="12.1640625" style="8" hidden="1" customWidth="1"/>
    <col min="12" max="12" width="12.1640625" style="7" hidden="1" customWidth="1"/>
    <col min="13" max="14" width="12.1640625" style="8" hidden="1" customWidth="1"/>
    <col min="15" max="15" width="6.6640625" style="9" hidden="1" customWidth="1"/>
    <col min="16" max="16" width="12.1640625" style="5" hidden="1" customWidth="1"/>
    <col min="17" max="17" width="3.5" style="10" customWidth="1"/>
    <col min="18" max="18" width="11.83203125" style="10" customWidth="1"/>
    <col min="19" max="19" width="14.83203125" style="10" customWidth="1"/>
    <col min="20" max="20" width="18.5" style="10" customWidth="1"/>
    <col min="21" max="21" width="3.5" style="10" customWidth="1"/>
    <col min="22" max="22" width="11.83203125" style="10" customWidth="1"/>
    <col min="23" max="23" width="15.33203125" style="10" customWidth="1"/>
    <col min="24" max="24" width="19.33203125" style="10" customWidth="1"/>
    <col min="25" max="25" width="3.5" style="10" customWidth="1"/>
    <col min="26" max="26" width="11.83203125" style="10" customWidth="1"/>
    <col min="27" max="27" width="15.5" style="10" customWidth="1"/>
    <col min="28" max="28" width="18.83203125" style="10" customWidth="1"/>
    <col min="29" max="29" width="3.5" style="10" customWidth="1"/>
    <col min="30" max="16384" width="6.6640625" style="10"/>
  </cols>
  <sheetData>
    <row r="1" spans="1:29" s="3" customFormat="1" ht="30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8"/>
      <c r="R1" s="15" t="s">
        <v>101</v>
      </c>
      <c r="S1" s="2" t="s">
        <v>102</v>
      </c>
      <c r="T1" s="2" t="s">
        <v>103</v>
      </c>
      <c r="U1" s="22"/>
      <c r="V1" s="15" t="s">
        <v>104</v>
      </c>
      <c r="W1" s="2" t="s">
        <v>105</v>
      </c>
      <c r="X1" s="2" t="s">
        <v>106</v>
      </c>
      <c r="Y1" s="22"/>
      <c r="Z1" s="15" t="s">
        <v>107</v>
      </c>
      <c r="AA1" s="2" t="s">
        <v>108</v>
      </c>
      <c r="AB1" s="2" t="s">
        <v>109</v>
      </c>
      <c r="AC1" s="18"/>
    </row>
    <row r="2" spans="1:29" ht="15" customHeight="1" x14ac:dyDescent="0.25">
      <c r="B2" s="5" t="s">
        <v>274</v>
      </c>
      <c r="C2" s="5" t="s">
        <v>15</v>
      </c>
      <c r="D2" s="5" t="s">
        <v>16</v>
      </c>
      <c r="E2" s="5" t="s">
        <v>20</v>
      </c>
      <c r="F2" s="5" t="s">
        <v>22</v>
      </c>
      <c r="G2" s="5" t="s">
        <v>17</v>
      </c>
      <c r="H2" s="6">
        <v>20.5466724637424</v>
      </c>
      <c r="I2" s="28">
        <f>AVERAGE(H2:H4)</f>
        <v>20.494004349873432</v>
      </c>
      <c r="J2" s="28">
        <f>_xlfn.STDEV.S(H2:H4)</f>
        <v>6.4291978788599005E-2</v>
      </c>
      <c r="Q2" s="19"/>
      <c r="R2" s="31">
        <f>I2/I36</f>
        <v>1.3350092448079485</v>
      </c>
      <c r="S2" s="32">
        <f>I2-I36</f>
        <v>5.1427965364611321</v>
      </c>
      <c r="T2" s="32">
        <f>POWER(2,S2)</f>
        <v>35.32938024906418</v>
      </c>
      <c r="U2" s="33"/>
      <c r="V2" s="31">
        <f>I2/I70</f>
        <v>1.12488952078361</v>
      </c>
      <c r="W2" s="32">
        <f>I2-I70</f>
        <v>2.2753224515861312</v>
      </c>
      <c r="X2" s="32">
        <f>POWER(2,W2)</f>
        <v>4.8410582435062972</v>
      </c>
      <c r="Y2" s="33"/>
      <c r="Z2" s="31">
        <f>I2/I104</f>
        <v>1.1965464521444771</v>
      </c>
      <c r="AA2" s="32">
        <f>I2-I104</f>
        <v>3.3663748181125683</v>
      </c>
      <c r="AB2" s="32">
        <f>POWER(2,AA2)</f>
        <v>10.312876023518896</v>
      </c>
      <c r="AC2" s="19"/>
    </row>
    <row r="3" spans="1:29" ht="15" customHeight="1" x14ac:dyDescent="0.25">
      <c r="B3" s="5" t="s">
        <v>275</v>
      </c>
      <c r="C3" s="5" t="s">
        <v>15</v>
      </c>
      <c r="D3" s="5" t="s">
        <v>16</v>
      </c>
      <c r="E3" s="5" t="s">
        <v>20</v>
      </c>
      <c r="F3" s="5" t="s">
        <v>22</v>
      </c>
      <c r="G3" s="5" t="s">
        <v>18</v>
      </c>
      <c r="H3" s="6">
        <v>20.422360129921501</v>
      </c>
      <c r="I3" s="28"/>
      <c r="J3" s="28"/>
      <c r="Q3" s="19"/>
      <c r="R3" s="31"/>
      <c r="S3" s="32"/>
      <c r="T3" s="32"/>
      <c r="U3" s="33"/>
      <c r="V3" s="31"/>
      <c r="W3" s="32"/>
      <c r="X3" s="32"/>
      <c r="Y3" s="33"/>
      <c r="Z3" s="31"/>
      <c r="AA3" s="32"/>
      <c r="AB3" s="32"/>
      <c r="AC3" s="19"/>
    </row>
    <row r="4" spans="1:29" ht="15" customHeight="1" x14ac:dyDescent="0.25">
      <c r="B4" s="5" t="s">
        <v>276</v>
      </c>
      <c r="C4" s="5" t="s">
        <v>15</v>
      </c>
      <c r="D4" s="5" t="s">
        <v>16</v>
      </c>
      <c r="E4" s="5" t="s">
        <v>20</v>
      </c>
      <c r="F4" s="5" t="s">
        <v>22</v>
      </c>
      <c r="G4" s="5" t="s">
        <v>19</v>
      </c>
      <c r="H4" s="6">
        <v>20.512980455956399</v>
      </c>
      <c r="I4" s="28"/>
      <c r="J4" s="28"/>
      <c r="Q4" s="19"/>
      <c r="R4" s="31"/>
      <c r="S4" s="32"/>
      <c r="T4" s="32"/>
      <c r="U4" s="33"/>
      <c r="V4" s="31"/>
      <c r="W4" s="32"/>
      <c r="X4" s="32"/>
      <c r="Y4" s="33"/>
      <c r="Z4" s="31"/>
      <c r="AA4" s="32"/>
      <c r="AB4" s="32"/>
      <c r="AC4" s="19"/>
    </row>
    <row r="5" spans="1:29" ht="15" customHeight="1" x14ac:dyDescent="0.25">
      <c r="H5" s="28"/>
      <c r="I5" s="28"/>
      <c r="J5" s="28"/>
      <c r="Q5" s="19"/>
      <c r="R5" s="31"/>
      <c r="S5" s="32"/>
      <c r="T5" s="32"/>
      <c r="U5" s="33"/>
      <c r="V5" s="31"/>
      <c r="W5" s="32"/>
      <c r="X5" s="32"/>
      <c r="Y5" s="33"/>
      <c r="Z5" s="31"/>
      <c r="AA5" s="32"/>
      <c r="AB5" s="32"/>
      <c r="AC5" s="19"/>
    </row>
    <row r="6" spans="1:29" ht="15" customHeight="1" x14ac:dyDescent="0.25">
      <c r="B6" s="5" t="s">
        <v>280</v>
      </c>
      <c r="C6" s="5" t="s">
        <v>15</v>
      </c>
      <c r="D6" s="5" t="s">
        <v>16</v>
      </c>
      <c r="E6" s="5" t="s">
        <v>20</v>
      </c>
      <c r="F6" s="5" t="s">
        <v>26</v>
      </c>
      <c r="G6" s="5" t="s">
        <v>17</v>
      </c>
      <c r="H6" s="6">
        <v>19.406074493392602</v>
      </c>
      <c r="I6" s="28">
        <f>AVERAGE(H6:H8)</f>
        <v>19.691457333756702</v>
      </c>
      <c r="J6" s="28">
        <f>_xlfn.STDEV.S(H6:H8)</f>
        <v>0.38860149572477859</v>
      </c>
      <c r="Q6" s="19"/>
      <c r="R6" s="31">
        <f>I6/I40</f>
        <v>1.2793963484570348</v>
      </c>
      <c r="S6" s="32">
        <f>I6-I40</f>
        <v>4.3002477547198357</v>
      </c>
      <c r="T6" s="32">
        <f t="shared" ref="T6:T30" si="0">POWER(2,S6)</f>
        <v>19.70169370444594</v>
      </c>
      <c r="U6" s="33"/>
      <c r="V6" s="31">
        <f>I6/I74</f>
        <v>1.1046787252075809</v>
      </c>
      <c r="W6" s="32">
        <f>I6-I74</f>
        <v>1.8659512527407323</v>
      </c>
      <c r="X6" s="32">
        <f>POWER(2,W6)</f>
        <v>3.6450819567012167</v>
      </c>
      <c r="Y6" s="33"/>
      <c r="Z6" s="31">
        <f>I6/I108</f>
        <v>1.2149093628052021</v>
      </c>
      <c r="AA6" s="32">
        <f>I6-I108</f>
        <v>3.4832874598415735</v>
      </c>
      <c r="AB6" s="32">
        <f t="shared" ref="AB6" si="1">POWER(2,AA6)</f>
        <v>11.183403868174608</v>
      </c>
      <c r="AC6" s="19"/>
    </row>
    <row r="7" spans="1:29" ht="15" customHeight="1" x14ac:dyDescent="0.25">
      <c r="B7" s="5" t="s">
        <v>281</v>
      </c>
      <c r="C7" s="5" t="s">
        <v>15</v>
      </c>
      <c r="D7" s="5" t="s">
        <v>16</v>
      </c>
      <c r="E7" s="5" t="s">
        <v>20</v>
      </c>
      <c r="F7" s="5" t="s">
        <v>26</v>
      </c>
      <c r="G7" s="5" t="s">
        <v>18</v>
      </c>
      <c r="H7" s="6">
        <v>19.534267780386202</v>
      </c>
      <c r="I7" s="28"/>
      <c r="J7" s="28"/>
      <c r="Q7" s="19"/>
      <c r="R7" s="31"/>
      <c r="S7" s="32"/>
      <c r="T7" s="32"/>
      <c r="U7" s="33"/>
      <c r="V7" s="31"/>
      <c r="W7" s="32"/>
      <c r="X7" s="32"/>
      <c r="Y7" s="33"/>
      <c r="Z7" s="31"/>
      <c r="AA7" s="32"/>
      <c r="AB7" s="32"/>
      <c r="AC7" s="19"/>
    </row>
    <row r="8" spans="1:29" ht="15" customHeight="1" x14ac:dyDescent="0.25">
      <c r="B8" s="5" t="s">
        <v>282</v>
      </c>
      <c r="C8" s="5" t="s">
        <v>15</v>
      </c>
      <c r="D8" s="5" t="s">
        <v>16</v>
      </c>
      <c r="E8" s="5" t="s">
        <v>20</v>
      </c>
      <c r="F8" s="5" t="s">
        <v>26</v>
      </c>
      <c r="G8" s="5" t="s">
        <v>19</v>
      </c>
      <c r="H8" s="6">
        <v>20.134029727491299</v>
      </c>
      <c r="I8" s="28"/>
      <c r="J8" s="28"/>
      <c r="Q8" s="19"/>
      <c r="R8" s="31"/>
      <c r="S8" s="32"/>
      <c r="T8" s="32"/>
      <c r="U8" s="33"/>
      <c r="V8" s="31"/>
      <c r="W8" s="32"/>
      <c r="X8" s="32"/>
      <c r="Y8" s="33"/>
      <c r="Z8" s="31"/>
      <c r="AA8" s="32"/>
      <c r="AB8" s="32"/>
      <c r="AC8" s="19"/>
    </row>
    <row r="9" spans="1:29" ht="15" customHeight="1" x14ac:dyDescent="0.25">
      <c r="H9" s="28"/>
      <c r="I9" s="28"/>
      <c r="J9" s="28"/>
      <c r="Q9" s="19"/>
      <c r="R9" s="31"/>
      <c r="S9" s="32"/>
      <c r="T9" s="32"/>
      <c r="U9" s="33"/>
      <c r="V9" s="31"/>
      <c r="W9" s="32"/>
      <c r="X9" s="32"/>
      <c r="Y9" s="33"/>
      <c r="Z9" s="31"/>
      <c r="AA9" s="32"/>
      <c r="AB9" s="32"/>
      <c r="AC9" s="19"/>
    </row>
    <row r="10" spans="1:29" ht="15" customHeight="1" x14ac:dyDescent="0.25">
      <c r="B10" s="5" t="s">
        <v>283</v>
      </c>
      <c r="C10" s="5" t="s">
        <v>15</v>
      </c>
      <c r="D10" s="5" t="s">
        <v>16</v>
      </c>
      <c r="E10" s="5" t="s">
        <v>20</v>
      </c>
      <c r="F10" s="5" t="s">
        <v>30</v>
      </c>
      <c r="G10" s="5" t="s">
        <v>17</v>
      </c>
      <c r="H10" s="6">
        <v>19.526538620202</v>
      </c>
      <c r="I10" s="28">
        <f>AVERAGE(H10:H12)</f>
        <v>19.733994931050734</v>
      </c>
      <c r="J10" s="28">
        <f>_xlfn.STDEV.S(H10:H12)</f>
        <v>0.30499210193661441</v>
      </c>
      <c r="Q10" s="19"/>
      <c r="R10" s="31">
        <f>I10/I44</f>
        <v>1.2617353610346991</v>
      </c>
      <c r="S10" s="32">
        <f>I10-I44</f>
        <v>4.0936352007284675</v>
      </c>
      <c r="T10" s="32">
        <f t="shared" si="0"/>
        <v>17.072887819435504</v>
      </c>
      <c r="U10" s="33"/>
      <c r="V10" s="31">
        <f>I10/I78</f>
        <v>1.0871334191244637</v>
      </c>
      <c r="W10" s="32">
        <f>I10-I78</f>
        <v>1.5816738047774308</v>
      </c>
      <c r="X10" s="32">
        <f t="shared" ref="X10" si="2">POWER(2,W10)</f>
        <v>2.9931691376418663</v>
      </c>
      <c r="Y10" s="33"/>
      <c r="Z10" s="31">
        <f>I10/I112</f>
        <v>1.1973083175927322</v>
      </c>
      <c r="AA10" s="32">
        <f>I10-I112</f>
        <v>3.2520289736712336</v>
      </c>
      <c r="AB10" s="32">
        <f t="shared" ref="AB10" si="3">POWER(2,AA10)</f>
        <v>9.5270461248423217</v>
      </c>
      <c r="AC10" s="19"/>
    </row>
    <row r="11" spans="1:29" ht="15" customHeight="1" x14ac:dyDescent="0.25">
      <c r="B11" s="5" t="s">
        <v>284</v>
      </c>
      <c r="C11" s="5" t="s">
        <v>15</v>
      </c>
      <c r="D11" s="5" t="s">
        <v>16</v>
      </c>
      <c r="E11" s="5" t="s">
        <v>20</v>
      </c>
      <c r="F11" s="5" t="s">
        <v>30</v>
      </c>
      <c r="G11" s="5" t="s">
        <v>18</v>
      </c>
      <c r="H11" s="6">
        <v>19.591264993565801</v>
      </c>
      <c r="I11" s="28"/>
      <c r="J11" s="28"/>
      <c r="N11" s="8">
        <v>0</v>
      </c>
      <c r="O11" s="9">
        <v>60</v>
      </c>
      <c r="P11" s="5" t="s">
        <v>16</v>
      </c>
      <c r="Q11" s="19"/>
      <c r="R11" s="31"/>
      <c r="S11" s="32"/>
      <c r="T11" s="32"/>
      <c r="U11" s="33"/>
      <c r="V11" s="31"/>
      <c r="W11" s="32"/>
      <c r="X11" s="32"/>
      <c r="Y11" s="33"/>
      <c r="Z11" s="31"/>
      <c r="AA11" s="32"/>
      <c r="AB11" s="32"/>
      <c r="AC11" s="19"/>
    </row>
    <row r="12" spans="1:29" ht="15" customHeight="1" x14ac:dyDescent="0.25">
      <c r="B12" s="5" t="s">
        <v>285</v>
      </c>
      <c r="C12" s="5" t="s">
        <v>15</v>
      </c>
      <c r="D12" s="5" t="s">
        <v>16</v>
      </c>
      <c r="E12" s="5" t="s">
        <v>20</v>
      </c>
      <c r="F12" s="5" t="s">
        <v>30</v>
      </c>
      <c r="G12" s="5" t="s">
        <v>19</v>
      </c>
      <c r="H12" s="6">
        <v>20.084181179384402</v>
      </c>
      <c r="I12" s="28"/>
      <c r="J12" s="28"/>
      <c r="N12" s="8">
        <v>0</v>
      </c>
      <c r="O12" s="9">
        <v>60</v>
      </c>
      <c r="P12" s="5" t="s">
        <v>16</v>
      </c>
      <c r="Q12" s="19"/>
      <c r="R12" s="31"/>
      <c r="S12" s="32"/>
      <c r="T12" s="32"/>
      <c r="U12" s="33"/>
      <c r="V12" s="31"/>
      <c r="W12" s="32"/>
      <c r="X12" s="32"/>
      <c r="Y12" s="33"/>
      <c r="Z12" s="31"/>
      <c r="AA12" s="32"/>
      <c r="AB12" s="32"/>
      <c r="AC12" s="19"/>
    </row>
    <row r="13" spans="1:29" ht="15" customHeight="1" x14ac:dyDescent="0.25">
      <c r="H13" s="28"/>
      <c r="I13" s="28"/>
      <c r="J13" s="28"/>
      <c r="N13" s="8">
        <v>0</v>
      </c>
      <c r="O13" s="9">
        <v>60</v>
      </c>
      <c r="P13" s="5" t="s">
        <v>16</v>
      </c>
      <c r="Q13" s="19"/>
      <c r="R13" s="31"/>
      <c r="S13" s="32"/>
      <c r="T13" s="32"/>
      <c r="U13" s="33"/>
      <c r="V13" s="31"/>
      <c r="W13" s="32"/>
      <c r="X13" s="32"/>
      <c r="Y13" s="33"/>
      <c r="Z13" s="31"/>
      <c r="AA13" s="32"/>
      <c r="AB13" s="32"/>
      <c r="AC13" s="19"/>
    </row>
    <row r="14" spans="1:29" ht="15" customHeight="1" x14ac:dyDescent="0.25">
      <c r="B14" s="5" t="s">
        <v>286</v>
      </c>
      <c r="C14" s="5" t="s">
        <v>15</v>
      </c>
      <c r="D14" s="5" t="s">
        <v>16</v>
      </c>
      <c r="E14" s="5" t="s">
        <v>20</v>
      </c>
      <c r="F14" s="5" t="s">
        <v>34</v>
      </c>
      <c r="G14" s="5" t="s">
        <v>17</v>
      </c>
      <c r="H14" s="6">
        <v>19.100000000000001</v>
      </c>
      <c r="I14" s="28">
        <f>AVERAGE(H14:H16)</f>
        <v>19.36</v>
      </c>
      <c r="J14" s="28">
        <f>_xlfn.STDEV.S(H14:H16)</f>
        <v>0.40779897008207255</v>
      </c>
      <c r="N14" s="8">
        <v>0</v>
      </c>
      <c r="O14" s="9">
        <v>60</v>
      </c>
      <c r="P14" s="5" t="s">
        <v>16</v>
      </c>
      <c r="Q14" s="19"/>
      <c r="R14" s="31">
        <f>I14/I48</f>
        <v>1.2963778564574675</v>
      </c>
      <c r="S14" s="32">
        <f>I14-I48</f>
        <v>4.4260824669561316</v>
      </c>
      <c r="T14" s="32">
        <f t="shared" si="0"/>
        <v>21.497283598516216</v>
      </c>
      <c r="U14" s="33"/>
      <c r="V14" s="31">
        <f>I14/I82</f>
        <v>1.098796879094261</v>
      </c>
      <c r="W14" s="32">
        <f>I14-I82</f>
        <v>1.7407289879104333</v>
      </c>
      <c r="X14" s="32">
        <f t="shared" ref="X14" si="4">POWER(2,W14)</f>
        <v>3.3420399702778973</v>
      </c>
      <c r="Y14" s="33"/>
      <c r="Z14" s="31">
        <f>I14/I116</f>
        <v>1.2145666275643174</v>
      </c>
      <c r="AA14" s="32">
        <f>I14-I116</f>
        <v>3.4201581167890343</v>
      </c>
      <c r="AB14" s="32">
        <f t="shared" ref="AB14" si="5">POWER(2,AA14)</f>
        <v>10.704593578258386</v>
      </c>
      <c r="AC14" s="19"/>
    </row>
    <row r="15" spans="1:29" ht="15" customHeight="1" x14ac:dyDescent="0.25">
      <c r="B15" s="5" t="s">
        <v>287</v>
      </c>
      <c r="C15" s="5" t="s">
        <v>15</v>
      </c>
      <c r="D15" s="5" t="s">
        <v>16</v>
      </c>
      <c r="E15" s="5" t="s">
        <v>20</v>
      </c>
      <c r="F15" s="5" t="s">
        <v>34</v>
      </c>
      <c r="G15" s="5" t="s">
        <v>18</v>
      </c>
      <c r="H15" s="6">
        <v>19.149999999999999</v>
      </c>
      <c r="I15" s="28"/>
      <c r="J15" s="28"/>
      <c r="N15" s="8">
        <v>0</v>
      </c>
      <c r="O15" s="9">
        <v>60</v>
      </c>
      <c r="P15" s="5" t="s">
        <v>16</v>
      </c>
      <c r="Q15" s="19"/>
      <c r="R15" s="31"/>
      <c r="S15" s="32"/>
      <c r="T15" s="32"/>
      <c r="U15" s="33"/>
      <c r="V15" s="31"/>
      <c r="W15" s="32"/>
      <c r="X15" s="32"/>
      <c r="Y15" s="33"/>
      <c r="Z15" s="31"/>
      <c r="AA15" s="32"/>
      <c r="AB15" s="32"/>
      <c r="AC15" s="19"/>
    </row>
    <row r="16" spans="1:29" ht="15" customHeight="1" x14ac:dyDescent="0.25">
      <c r="B16" s="5" t="s">
        <v>288</v>
      </c>
      <c r="C16" s="5" t="s">
        <v>15</v>
      </c>
      <c r="D16" s="5" t="s">
        <v>16</v>
      </c>
      <c r="E16" s="5" t="s">
        <v>20</v>
      </c>
      <c r="F16" s="5" t="s">
        <v>34</v>
      </c>
      <c r="G16" s="5" t="s">
        <v>19</v>
      </c>
      <c r="H16" s="6">
        <v>19.829999999999998</v>
      </c>
      <c r="I16" s="28"/>
      <c r="J16" s="28"/>
      <c r="N16" s="8">
        <v>0</v>
      </c>
      <c r="O16" s="9">
        <v>60</v>
      </c>
      <c r="P16" s="5" t="s">
        <v>16</v>
      </c>
      <c r="Q16" s="19"/>
      <c r="R16" s="31"/>
      <c r="S16" s="32"/>
      <c r="T16" s="32"/>
      <c r="U16" s="33"/>
      <c r="V16" s="31"/>
      <c r="W16" s="32"/>
      <c r="X16" s="32"/>
      <c r="Y16" s="33"/>
      <c r="Z16" s="31"/>
      <c r="AA16" s="32"/>
      <c r="AB16" s="32"/>
      <c r="AC16" s="19"/>
    </row>
    <row r="17" spans="2:29" ht="15" customHeight="1" x14ac:dyDescent="0.25">
      <c r="H17" s="28"/>
      <c r="I17" s="28"/>
      <c r="J17" s="28"/>
      <c r="N17" s="8">
        <v>0</v>
      </c>
      <c r="O17" s="9">
        <v>60</v>
      </c>
      <c r="P17" s="5" t="s">
        <v>16</v>
      </c>
      <c r="Q17" s="19"/>
      <c r="R17" s="31"/>
      <c r="S17" s="32"/>
      <c r="T17" s="32"/>
      <c r="U17" s="33"/>
      <c r="V17" s="31"/>
      <c r="W17" s="32"/>
      <c r="X17" s="32"/>
      <c r="Y17" s="33"/>
      <c r="Z17" s="31"/>
      <c r="AA17" s="32"/>
      <c r="AB17" s="32"/>
      <c r="AC17" s="19"/>
    </row>
    <row r="18" spans="2:29" ht="15" customHeight="1" x14ac:dyDescent="0.25">
      <c r="B18" s="5" t="s">
        <v>289</v>
      </c>
      <c r="C18" s="5" t="s">
        <v>15</v>
      </c>
      <c r="D18" s="5" t="s">
        <v>16</v>
      </c>
      <c r="E18" s="5" t="s">
        <v>20</v>
      </c>
      <c r="F18" s="5" t="s">
        <v>38</v>
      </c>
      <c r="G18" s="5" t="s">
        <v>17</v>
      </c>
      <c r="H18" s="6">
        <v>18.419738022068099</v>
      </c>
      <c r="I18" s="28">
        <f>AVERAGE(H18:H20)</f>
        <v>18.659283882123731</v>
      </c>
      <c r="J18" s="28">
        <f>_xlfn.STDEV.S(H18:H20)</f>
        <v>0.25259704431621172</v>
      </c>
      <c r="Q18" s="19"/>
      <c r="R18" s="31">
        <f>I18/I52</f>
        <v>1.3297664608544633</v>
      </c>
      <c r="S18" s="32">
        <f>I18-I52</f>
        <v>4.627283202745863</v>
      </c>
      <c r="T18" s="32">
        <f t="shared" si="0"/>
        <v>24.714455259642641</v>
      </c>
      <c r="U18" s="33"/>
      <c r="V18" s="31">
        <f>I18/I86</f>
        <v>1.1270268334064719</v>
      </c>
      <c r="W18" s="32">
        <f>I18-I86</f>
        <v>2.1030819097842652</v>
      </c>
      <c r="X18" s="32">
        <f t="shared" ref="X18" si="6">POWER(2,W18)</f>
        <v>4.2962618021229249</v>
      </c>
      <c r="Y18" s="33"/>
      <c r="Z18" s="31">
        <f>I18/I120</f>
        <v>1.232478414272818</v>
      </c>
      <c r="AA18" s="32">
        <f>I18-I120</f>
        <v>3.5196403264732989</v>
      </c>
      <c r="AB18" s="32">
        <f t="shared" ref="AB18" si="7">POWER(2,AA18)</f>
        <v>11.468782383497331</v>
      </c>
      <c r="AC18" s="19"/>
    </row>
    <row r="19" spans="2:29" ht="15" customHeight="1" x14ac:dyDescent="0.25">
      <c r="B19" s="5" t="s">
        <v>290</v>
      </c>
      <c r="C19" s="5" t="s">
        <v>15</v>
      </c>
      <c r="D19" s="5" t="s">
        <v>16</v>
      </c>
      <c r="E19" s="5" t="s">
        <v>20</v>
      </c>
      <c r="F19" s="5" t="s">
        <v>38</v>
      </c>
      <c r="G19" s="5" t="s">
        <v>18</v>
      </c>
      <c r="H19" s="6">
        <v>18.634943653505498</v>
      </c>
      <c r="I19" s="28"/>
      <c r="J19" s="28"/>
      <c r="Q19" s="19"/>
      <c r="R19" s="31"/>
      <c r="S19" s="32"/>
      <c r="T19" s="32"/>
      <c r="U19" s="33"/>
      <c r="V19" s="31"/>
      <c r="W19" s="32"/>
      <c r="X19" s="32"/>
      <c r="Y19" s="33"/>
      <c r="Z19" s="31"/>
      <c r="AA19" s="32"/>
      <c r="AB19" s="32"/>
      <c r="AC19" s="19"/>
    </row>
    <row r="20" spans="2:29" ht="15" customHeight="1" x14ac:dyDescent="0.25">
      <c r="B20" s="5" t="s">
        <v>291</v>
      </c>
      <c r="C20" s="5" t="s">
        <v>15</v>
      </c>
      <c r="D20" s="5" t="s">
        <v>16</v>
      </c>
      <c r="E20" s="5" t="s">
        <v>20</v>
      </c>
      <c r="F20" s="5" t="s">
        <v>38</v>
      </c>
      <c r="G20" s="5" t="s">
        <v>19</v>
      </c>
      <c r="H20" s="6">
        <v>18.923169970797598</v>
      </c>
      <c r="I20" s="28"/>
      <c r="J20" s="28"/>
      <c r="Q20" s="19"/>
      <c r="R20" s="31"/>
      <c r="S20" s="32"/>
      <c r="T20" s="32"/>
      <c r="U20" s="33"/>
      <c r="V20" s="31"/>
      <c r="W20" s="32"/>
      <c r="X20" s="32"/>
      <c r="Y20" s="33"/>
      <c r="Z20" s="31"/>
      <c r="AA20" s="32"/>
      <c r="AB20" s="32"/>
      <c r="AC20" s="19"/>
    </row>
    <row r="21" spans="2:29" ht="15" customHeight="1" x14ac:dyDescent="0.25">
      <c r="H21" s="28"/>
      <c r="I21" s="28"/>
      <c r="J21" s="28"/>
      <c r="N21" s="8">
        <v>0</v>
      </c>
      <c r="O21" s="9">
        <v>60</v>
      </c>
      <c r="P21" s="5" t="s">
        <v>16</v>
      </c>
      <c r="Q21" s="19"/>
      <c r="R21" s="31"/>
      <c r="S21" s="32"/>
      <c r="T21" s="32"/>
      <c r="U21" s="33"/>
      <c r="V21" s="31"/>
      <c r="W21" s="32"/>
      <c r="X21" s="32"/>
      <c r="Y21" s="33"/>
      <c r="Z21" s="31"/>
      <c r="AA21" s="32"/>
      <c r="AB21" s="32"/>
      <c r="AC21" s="19"/>
    </row>
    <row r="22" spans="2:29" ht="15" customHeight="1" x14ac:dyDescent="0.25">
      <c r="B22" s="5" t="s">
        <v>292</v>
      </c>
      <c r="C22" s="5" t="s">
        <v>15</v>
      </c>
      <c r="D22" s="5" t="s">
        <v>16</v>
      </c>
      <c r="E22" s="5" t="s">
        <v>20</v>
      </c>
      <c r="F22" s="5" t="s">
        <v>42</v>
      </c>
      <c r="G22" s="5" t="s">
        <v>17</v>
      </c>
      <c r="H22" s="6">
        <v>19.9405245154847</v>
      </c>
      <c r="I22" s="28">
        <f>AVERAGE(H22:H24)</f>
        <v>20.010546943780998</v>
      </c>
      <c r="J22" s="28">
        <f>_xlfn.STDEV.S(H22:H24)</f>
        <v>0.25114213373085431</v>
      </c>
      <c r="Q22" s="19"/>
      <c r="R22" s="31">
        <f>I22/I56</f>
        <v>1.2923926981989879</v>
      </c>
      <c r="S22" s="32">
        <f>I22-I56</f>
        <v>4.5272136104476637</v>
      </c>
      <c r="T22" s="32">
        <f t="shared" si="0"/>
        <v>23.058289819290938</v>
      </c>
      <c r="U22" s="33"/>
      <c r="V22" s="31">
        <f>I22/I90</f>
        <v>1.0460886247832764</v>
      </c>
      <c r="W22" s="32">
        <f>I22-I90</f>
        <v>0.88162567487160004</v>
      </c>
      <c r="X22" s="32">
        <f t="shared" ref="X22" si="8">POWER(2,W22)</f>
        <v>1.8424502637935947</v>
      </c>
      <c r="Y22" s="33"/>
      <c r="Z22" s="31">
        <f>I22/I124</f>
        <v>1.1941148600872555</v>
      </c>
      <c r="AA22" s="32">
        <f>I22-I124</f>
        <v>3.2529069439581981</v>
      </c>
      <c r="AB22" s="32">
        <f t="shared" ref="AB22" si="9">POWER(2,AA22)</f>
        <v>9.5328456936003132</v>
      </c>
      <c r="AC22" s="19"/>
    </row>
    <row r="23" spans="2:29" ht="15" customHeight="1" x14ac:dyDescent="0.25">
      <c r="B23" s="5" t="s">
        <v>293</v>
      </c>
      <c r="C23" s="5" t="s">
        <v>15</v>
      </c>
      <c r="D23" s="5" t="s">
        <v>16</v>
      </c>
      <c r="E23" s="5" t="s">
        <v>20</v>
      </c>
      <c r="F23" s="5" t="s">
        <v>42</v>
      </c>
      <c r="G23" s="5" t="s">
        <v>18</v>
      </c>
      <c r="H23" s="6">
        <v>19.801847230832099</v>
      </c>
      <c r="I23" s="28"/>
      <c r="J23" s="28"/>
      <c r="Q23" s="19"/>
      <c r="R23" s="31"/>
      <c r="S23" s="32"/>
      <c r="T23" s="32"/>
      <c r="U23" s="33"/>
      <c r="V23" s="31"/>
      <c r="W23" s="32"/>
      <c r="X23" s="32"/>
      <c r="Y23" s="33"/>
      <c r="Z23" s="31"/>
      <c r="AA23" s="32"/>
      <c r="AB23" s="32"/>
      <c r="AC23" s="19"/>
    </row>
    <row r="24" spans="2:29" ht="15" customHeight="1" x14ac:dyDescent="0.25">
      <c r="B24" s="5" t="s">
        <v>294</v>
      </c>
      <c r="C24" s="5" t="s">
        <v>15</v>
      </c>
      <c r="D24" s="5" t="s">
        <v>16</v>
      </c>
      <c r="E24" s="5" t="s">
        <v>20</v>
      </c>
      <c r="F24" s="5" t="s">
        <v>42</v>
      </c>
      <c r="G24" s="5" t="s">
        <v>19</v>
      </c>
      <c r="H24" s="6">
        <v>20.289269085026199</v>
      </c>
      <c r="I24" s="28"/>
      <c r="J24" s="28"/>
      <c r="Q24" s="19"/>
      <c r="R24" s="31"/>
      <c r="S24" s="32"/>
      <c r="T24" s="32"/>
      <c r="U24" s="33"/>
      <c r="V24" s="31"/>
      <c r="W24" s="32"/>
      <c r="X24" s="32"/>
      <c r="Y24" s="33"/>
      <c r="Z24" s="31"/>
      <c r="AA24" s="32"/>
      <c r="AB24" s="32"/>
      <c r="AC24" s="19"/>
    </row>
    <row r="25" spans="2:29" ht="15" customHeight="1" x14ac:dyDescent="0.25">
      <c r="H25" s="28"/>
      <c r="I25" s="28"/>
      <c r="J25" s="28"/>
      <c r="Q25" s="19"/>
      <c r="R25" s="31"/>
      <c r="S25" s="32"/>
      <c r="T25" s="32"/>
      <c r="U25" s="33"/>
      <c r="V25" s="31"/>
      <c r="W25" s="32"/>
      <c r="X25" s="32"/>
      <c r="Y25" s="33"/>
      <c r="Z25" s="31"/>
      <c r="AA25" s="32"/>
      <c r="AB25" s="32"/>
      <c r="AC25" s="19"/>
    </row>
    <row r="26" spans="2:29" ht="15" customHeight="1" x14ac:dyDescent="0.25">
      <c r="B26" s="5" t="s">
        <v>295</v>
      </c>
      <c r="C26" s="5" t="s">
        <v>15</v>
      </c>
      <c r="D26" s="5" t="s">
        <v>16</v>
      </c>
      <c r="E26" s="5" t="s">
        <v>20</v>
      </c>
      <c r="F26" s="5" t="s">
        <v>46</v>
      </c>
      <c r="G26" s="5" t="s">
        <v>17</v>
      </c>
      <c r="H26" s="6">
        <v>19.990370688316201</v>
      </c>
      <c r="I26" s="28">
        <f>AVERAGE(H26:H28)</f>
        <v>19.856072204677702</v>
      </c>
      <c r="J26" s="28">
        <f>_xlfn.STDEV.S(H26:H28)</f>
        <v>0.11719440621102516</v>
      </c>
      <c r="N26" s="8">
        <v>0</v>
      </c>
      <c r="O26" s="9">
        <v>60</v>
      </c>
      <c r="P26" s="5" t="s">
        <v>16</v>
      </c>
      <c r="Q26" s="19"/>
      <c r="R26" s="31">
        <f>I26/I60</f>
        <v>1.2926309217088621</v>
      </c>
      <c r="S26" s="32">
        <f>I26-I60</f>
        <v>4.4950964836049678</v>
      </c>
      <c r="T26" s="32">
        <f t="shared" si="0"/>
        <v>22.550640158644686</v>
      </c>
      <c r="U26" s="33"/>
      <c r="V26" s="31">
        <f>I26/I94</f>
        <v>1.1095260256566266</v>
      </c>
      <c r="W26" s="32">
        <f>I26-I94</f>
        <v>1.9600772072402002</v>
      </c>
      <c r="X26" s="32">
        <f t="shared" ref="X26" si="10">POWER(2,W26)</f>
        <v>3.8908280055547415</v>
      </c>
      <c r="Y26" s="33"/>
      <c r="Z26" s="31">
        <f>I26/I128</f>
        <v>1.2136936386271628</v>
      </c>
      <c r="AA26" s="32">
        <f>I26-I128</f>
        <v>3.4960357236944368</v>
      </c>
      <c r="AB26" s="32">
        <f>POWER(2,AA26)</f>
        <v>11.282663059214986</v>
      </c>
      <c r="AC26" s="19"/>
    </row>
    <row r="27" spans="2:29" ht="15" customHeight="1" x14ac:dyDescent="0.25">
      <c r="B27" s="5" t="s">
        <v>296</v>
      </c>
      <c r="C27" s="5" t="s">
        <v>15</v>
      </c>
      <c r="D27" s="5" t="s">
        <v>16</v>
      </c>
      <c r="E27" s="5" t="s">
        <v>20</v>
      </c>
      <c r="F27" s="5" t="s">
        <v>46</v>
      </c>
      <c r="G27" s="5" t="s">
        <v>18</v>
      </c>
      <c r="H27" s="6">
        <v>19.8033266712856</v>
      </c>
      <c r="I27" s="28"/>
      <c r="J27" s="28"/>
      <c r="N27" s="8">
        <v>0</v>
      </c>
      <c r="O27" s="9">
        <v>60</v>
      </c>
      <c r="P27" s="5" t="s">
        <v>16</v>
      </c>
      <c r="Q27" s="19"/>
      <c r="R27" s="31"/>
      <c r="S27" s="32"/>
      <c r="T27" s="32"/>
      <c r="U27" s="33"/>
      <c r="V27" s="31"/>
      <c r="W27" s="32"/>
      <c r="X27" s="32"/>
      <c r="Y27" s="33"/>
      <c r="Z27" s="31"/>
      <c r="AA27" s="32"/>
      <c r="AB27" s="32"/>
      <c r="AC27" s="19"/>
    </row>
    <row r="28" spans="2:29" ht="15" customHeight="1" x14ac:dyDescent="0.25">
      <c r="B28" s="5" t="s">
        <v>297</v>
      </c>
      <c r="C28" s="5" t="s">
        <v>15</v>
      </c>
      <c r="D28" s="5" t="s">
        <v>16</v>
      </c>
      <c r="E28" s="5" t="s">
        <v>20</v>
      </c>
      <c r="F28" s="5" t="s">
        <v>46</v>
      </c>
      <c r="G28" s="5" t="s">
        <v>19</v>
      </c>
      <c r="H28" s="6">
        <v>19.774519254431301</v>
      </c>
      <c r="I28" s="28"/>
      <c r="J28" s="28"/>
      <c r="N28" s="8">
        <v>0</v>
      </c>
      <c r="O28" s="9">
        <v>60</v>
      </c>
      <c r="P28" s="5" t="s">
        <v>16</v>
      </c>
      <c r="Q28" s="19"/>
      <c r="R28" s="31"/>
      <c r="S28" s="32"/>
      <c r="T28" s="32"/>
      <c r="U28" s="33"/>
      <c r="V28" s="31"/>
      <c r="W28" s="32"/>
      <c r="X28" s="32"/>
      <c r="Y28" s="33"/>
      <c r="Z28" s="31"/>
      <c r="AA28" s="32"/>
      <c r="AB28" s="32"/>
      <c r="AC28" s="19"/>
    </row>
    <row r="29" spans="2:29" ht="15" customHeight="1" x14ac:dyDescent="0.25">
      <c r="H29" s="28"/>
      <c r="I29" s="28"/>
      <c r="J29" s="28"/>
      <c r="N29" s="8">
        <v>0</v>
      </c>
      <c r="O29" s="9">
        <v>60</v>
      </c>
      <c r="P29" s="5" t="s">
        <v>16</v>
      </c>
      <c r="Q29" s="19"/>
      <c r="R29" s="31"/>
      <c r="S29" s="32"/>
      <c r="T29" s="32"/>
      <c r="U29" s="33"/>
      <c r="V29" s="31"/>
      <c r="W29" s="32"/>
      <c r="X29" s="32"/>
      <c r="Y29" s="33"/>
      <c r="Z29" s="31"/>
      <c r="AA29" s="32"/>
      <c r="AB29" s="32"/>
      <c r="AC29" s="19"/>
    </row>
    <row r="30" spans="2:29" ht="15" customHeight="1" x14ac:dyDescent="0.25">
      <c r="B30" s="5" t="s">
        <v>298</v>
      </c>
      <c r="C30" s="5" t="s">
        <v>15</v>
      </c>
      <c r="D30" s="5" t="s">
        <v>16</v>
      </c>
      <c r="E30" s="5" t="s">
        <v>20</v>
      </c>
      <c r="F30" s="5" t="s">
        <v>50</v>
      </c>
      <c r="G30" s="5" t="s">
        <v>17</v>
      </c>
      <c r="H30" s="6">
        <v>19.378740638024901</v>
      </c>
      <c r="I30" s="28">
        <f>AVERAGE(H30:H32)</f>
        <v>19.654511482316767</v>
      </c>
      <c r="J30" s="28">
        <f>_xlfn.STDEV.S(H30:H32)</f>
        <v>0.48580509511754499</v>
      </c>
      <c r="N30" s="8">
        <v>0</v>
      </c>
      <c r="O30" s="9">
        <v>60</v>
      </c>
      <c r="P30" s="5" t="s">
        <v>16</v>
      </c>
      <c r="Q30" s="19"/>
      <c r="R30" s="31">
        <f>I30/I64</f>
        <v>1.2560216606333261</v>
      </c>
      <c r="S30" s="32">
        <f>I30-I64</f>
        <v>4.0062849442438999</v>
      </c>
      <c r="T30" s="32">
        <f t="shared" si="0"/>
        <v>16.069854307999471</v>
      </c>
      <c r="U30" s="33"/>
      <c r="V30" s="31">
        <f>I30/I98</f>
        <v>1.0907413583361891</v>
      </c>
      <c r="W30" s="32">
        <f>I30-I98</f>
        <v>1.6351053856252022</v>
      </c>
      <c r="X30" s="32">
        <f>POWER(2,W30)</f>
        <v>3.1061023855046845</v>
      </c>
      <c r="Y30" s="33"/>
      <c r="Z30" s="31">
        <f>I30/I132</f>
        <v>1.2011312782022876</v>
      </c>
      <c r="AA30" s="32">
        <f>I30-I132</f>
        <v>3.291178148983434</v>
      </c>
      <c r="AB30" s="32">
        <f>POWER(2,AA30)</f>
        <v>9.7891130480291828</v>
      </c>
      <c r="AC30" s="19"/>
    </row>
    <row r="31" spans="2:29" ht="15" customHeight="1" x14ac:dyDescent="0.25">
      <c r="B31" s="5" t="s">
        <v>299</v>
      </c>
      <c r="C31" s="5" t="s">
        <v>15</v>
      </c>
      <c r="D31" s="5" t="s">
        <v>16</v>
      </c>
      <c r="E31" s="5" t="s">
        <v>20</v>
      </c>
      <c r="F31" s="5" t="s">
        <v>50</v>
      </c>
      <c r="G31" s="5" t="s">
        <v>18</v>
      </c>
      <c r="H31" s="6">
        <v>19.3693491275851</v>
      </c>
      <c r="I31" s="28"/>
      <c r="J31" s="28"/>
      <c r="N31" s="8">
        <v>0</v>
      </c>
      <c r="O31" s="9">
        <v>60</v>
      </c>
      <c r="P31" s="5" t="s">
        <v>16</v>
      </c>
      <c r="Q31" s="19"/>
      <c r="R31" s="23"/>
      <c r="S31" s="24"/>
      <c r="T31" s="24"/>
      <c r="U31" s="25"/>
      <c r="V31" s="23"/>
      <c r="W31" s="24"/>
      <c r="X31" s="24"/>
      <c r="Y31" s="25"/>
      <c r="Z31" s="23"/>
      <c r="AA31" s="24"/>
      <c r="AB31" s="24"/>
      <c r="AC31" s="19"/>
    </row>
    <row r="32" spans="2:29" ht="15" customHeight="1" x14ac:dyDescent="0.25">
      <c r="B32" s="5" t="s">
        <v>300</v>
      </c>
      <c r="C32" s="5" t="s">
        <v>15</v>
      </c>
      <c r="D32" s="5" t="s">
        <v>16</v>
      </c>
      <c r="E32" s="5" t="s">
        <v>20</v>
      </c>
      <c r="F32" s="5" t="s">
        <v>50</v>
      </c>
      <c r="G32" s="5" t="s">
        <v>19</v>
      </c>
      <c r="H32" s="6">
        <v>20.215444681340301</v>
      </c>
      <c r="I32" s="28"/>
      <c r="J32" s="28"/>
      <c r="N32" s="8">
        <v>0</v>
      </c>
      <c r="O32" s="9">
        <v>60</v>
      </c>
      <c r="P32" s="5" t="s">
        <v>16</v>
      </c>
      <c r="Q32" s="19"/>
      <c r="R32" s="23"/>
      <c r="S32" s="24"/>
      <c r="T32" s="24"/>
      <c r="U32" s="25"/>
      <c r="V32" s="23"/>
      <c r="W32" s="24"/>
      <c r="X32" s="24"/>
      <c r="Y32" s="25"/>
      <c r="Z32" s="23"/>
      <c r="AA32" s="24"/>
      <c r="AB32" s="24"/>
      <c r="AC32" s="19"/>
    </row>
    <row r="33" spans="2:29" ht="15" customHeight="1" x14ac:dyDescent="0.25">
      <c r="B33" s="11"/>
      <c r="C33" s="11"/>
      <c r="D33" s="11"/>
      <c r="E33" s="11"/>
      <c r="F33" s="11"/>
      <c r="G33" s="11"/>
      <c r="H33" s="29"/>
      <c r="I33" s="29"/>
      <c r="J33" s="29"/>
      <c r="K33" s="13"/>
      <c r="L33" s="12"/>
      <c r="M33" s="13"/>
      <c r="N33" s="13">
        <v>0</v>
      </c>
      <c r="O33" s="14">
        <v>60</v>
      </c>
      <c r="P33" s="11" t="s">
        <v>16</v>
      </c>
      <c r="Q33" s="20"/>
      <c r="R33" s="26"/>
      <c r="S33" s="24"/>
      <c r="T33" s="24"/>
      <c r="U33" s="27"/>
      <c r="V33" s="26"/>
      <c r="W33" s="24"/>
      <c r="X33" s="24"/>
      <c r="Y33" s="27"/>
      <c r="Z33" s="26"/>
      <c r="AA33" s="24"/>
      <c r="AB33" s="24"/>
      <c r="AC33" s="20"/>
    </row>
    <row r="34" spans="2:29" ht="15" customHeight="1" x14ac:dyDescent="0.2">
      <c r="B34" s="21"/>
      <c r="C34" s="21"/>
      <c r="D34" s="21"/>
      <c r="E34" s="21"/>
      <c r="F34" s="21"/>
      <c r="G34" s="21"/>
      <c r="H34" s="30"/>
      <c r="I34" s="30"/>
      <c r="J34" s="30"/>
      <c r="K34" s="21"/>
      <c r="L34" s="21"/>
      <c r="M34" s="21"/>
      <c r="N34" s="21">
        <v>0</v>
      </c>
      <c r="O34" s="21">
        <v>60</v>
      </c>
      <c r="P34" s="21" t="s">
        <v>16</v>
      </c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2:29" ht="15" customHeight="1" x14ac:dyDescent="0.2">
      <c r="B35" s="10"/>
      <c r="C35" s="10"/>
      <c r="D35" s="10"/>
      <c r="E35" s="10"/>
      <c r="F35" s="10"/>
      <c r="G35" s="10"/>
      <c r="H35" s="28"/>
      <c r="I35" s="28"/>
      <c r="J35" s="28"/>
      <c r="K35" s="10"/>
      <c r="L35" s="10"/>
      <c r="M35" s="10"/>
      <c r="N35" s="10"/>
      <c r="O35" s="10"/>
      <c r="P35" s="10"/>
      <c r="Q35" s="19"/>
      <c r="R35" s="17"/>
      <c r="U35" s="19"/>
      <c r="V35" s="17"/>
      <c r="Y35" s="19"/>
      <c r="Z35" s="17"/>
      <c r="AC35" s="19"/>
    </row>
    <row r="36" spans="2:29" ht="15" customHeight="1" x14ac:dyDescent="0.2">
      <c r="B36" s="5" t="s">
        <v>271</v>
      </c>
      <c r="C36" s="5" t="s">
        <v>15</v>
      </c>
      <c r="D36" s="5" t="s">
        <v>16</v>
      </c>
      <c r="E36" s="5" t="s">
        <v>20</v>
      </c>
      <c r="F36" s="5" t="s">
        <v>77</v>
      </c>
      <c r="G36" s="5" t="s">
        <v>17</v>
      </c>
      <c r="H36" s="6">
        <v>15.4544798513268</v>
      </c>
      <c r="I36" s="28">
        <f>AVERAGE(H36:H38)</f>
        <v>15.3512078134123</v>
      </c>
      <c r="J36" s="28">
        <f>_xlfn.STDEV.S(H36:H38)</f>
        <v>9.3638662772719705E-2</v>
      </c>
      <c r="N36" s="8">
        <v>0</v>
      </c>
      <c r="O36" s="9">
        <v>60</v>
      </c>
      <c r="P36" s="5" t="s">
        <v>16</v>
      </c>
      <c r="Q36" s="19"/>
      <c r="R36" s="17"/>
      <c r="U36" s="19"/>
      <c r="V36" s="17"/>
      <c r="Y36" s="19"/>
      <c r="Z36" s="17"/>
      <c r="AC36" s="19"/>
    </row>
    <row r="37" spans="2:29" ht="15" customHeight="1" x14ac:dyDescent="0.2">
      <c r="B37" s="5" t="s">
        <v>272</v>
      </c>
      <c r="C37" s="5" t="s">
        <v>15</v>
      </c>
      <c r="D37" s="5" t="s">
        <v>16</v>
      </c>
      <c r="E37" s="5" t="s">
        <v>20</v>
      </c>
      <c r="F37" s="5" t="s">
        <v>77</v>
      </c>
      <c r="G37" s="5" t="s">
        <v>18</v>
      </c>
      <c r="H37" s="6">
        <v>15.3273092024919</v>
      </c>
      <c r="I37" s="28"/>
      <c r="J37" s="28"/>
      <c r="Q37" s="19"/>
      <c r="R37" s="17"/>
      <c r="U37" s="19"/>
      <c r="V37" s="17"/>
      <c r="Y37" s="19"/>
      <c r="Z37" s="17"/>
      <c r="AC37" s="19"/>
    </row>
    <row r="38" spans="2:29" ht="15" customHeight="1" x14ac:dyDescent="0.2">
      <c r="B38" s="5" t="s">
        <v>273</v>
      </c>
      <c r="C38" s="5" t="s">
        <v>15</v>
      </c>
      <c r="D38" s="5" t="s">
        <v>16</v>
      </c>
      <c r="E38" s="5" t="s">
        <v>20</v>
      </c>
      <c r="F38" s="5" t="s">
        <v>77</v>
      </c>
      <c r="G38" s="5" t="s">
        <v>19</v>
      </c>
      <c r="H38" s="6">
        <v>15.271834386418201</v>
      </c>
      <c r="I38" s="28"/>
      <c r="J38" s="28"/>
      <c r="Q38" s="19"/>
      <c r="R38" s="17"/>
      <c r="U38" s="19"/>
      <c r="V38" s="17"/>
      <c r="Y38" s="19"/>
      <c r="Z38" s="17"/>
      <c r="AC38" s="19"/>
    </row>
    <row r="39" spans="2:29" ht="15" customHeight="1" x14ac:dyDescent="0.2">
      <c r="H39" s="28"/>
      <c r="I39" s="28"/>
      <c r="J39" s="28"/>
      <c r="N39" s="8">
        <v>0</v>
      </c>
      <c r="O39" s="9">
        <v>60</v>
      </c>
      <c r="P39" s="5" t="s">
        <v>16</v>
      </c>
      <c r="Q39" s="19"/>
      <c r="R39" s="17"/>
      <c r="U39" s="19"/>
      <c r="V39" s="17"/>
      <c r="Y39" s="19"/>
      <c r="Z39" s="17"/>
      <c r="AC39" s="19"/>
    </row>
    <row r="40" spans="2:29" ht="15" customHeight="1" x14ac:dyDescent="0.2">
      <c r="B40" s="5" t="s">
        <v>277</v>
      </c>
      <c r="C40" s="5" t="s">
        <v>15</v>
      </c>
      <c r="D40" s="5" t="s">
        <v>16</v>
      </c>
      <c r="E40" s="5" t="s">
        <v>20</v>
      </c>
      <c r="F40" s="5" t="s">
        <v>78</v>
      </c>
      <c r="G40" s="5" t="s">
        <v>17</v>
      </c>
      <c r="H40" s="6">
        <v>15.6230657219644</v>
      </c>
      <c r="I40" s="28">
        <f>AVERAGE(H40:H42)</f>
        <v>15.391209579036866</v>
      </c>
      <c r="J40" s="28">
        <f>_xlfn.STDEV.S(H40:H42)</f>
        <v>0.20300679583892045</v>
      </c>
      <c r="N40" s="8">
        <v>0</v>
      </c>
      <c r="O40" s="9">
        <v>60</v>
      </c>
      <c r="P40" s="5" t="s">
        <v>16</v>
      </c>
      <c r="Q40" s="19"/>
      <c r="R40" s="17"/>
      <c r="U40" s="19"/>
      <c r="V40" s="17"/>
      <c r="Y40" s="19"/>
      <c r="Z40" s="17"/>
      <c r="AC40" s="19"/>
    </row>
    <row r="41" spans="2:29" ht="15" customHeight="1" x14ac:dyDescent="0.2">
      <c r="B41" s="5" t="s">
        <v>278</v>
      </c>
      <c r="C41" s="5" t="s">
        <v>15</v>
      </c>
      <c r="D41" s="5" t="s">
        <v>16</v>
      </c>
      <c r="E41" s="5" t="s">
        <v>20</v>
      </c>
      <c r="F41" s="5" t="s">
        <v>78</v>
      </c>
      <c r="G41" s="5" t="s">
        <v>18</v>
      </c>
      <c r="H41" s="6">
        <v>15.305178094282301</v>
      </c>
      <c r="I41" s="28"/>
      <c r="J41" s="28"/>
      <c r="N41" s="8">
        <v>0</v>
      </c>
      <c r="O41" s="9">
        <v>60</v>
      </c>
      <c r="P41" s="5" t="s">
        <v>16</v>
      </c>
      <c r="Q41" s="19"/>
      <c r="R41" s="17"/>
      <c r="U41" s="19"/>
      <c r="V41" s="17"/>
      <c r="Y41" s="19"/>
      <c r="Z41" s="17"/>
      <c r="AC41" s="19"/>
    </row>
    <row r="42" spans="2:29" ht="15" customHeight="1" x14ac:dyDescent="0.2">
      <c r="B42" s="5" t="s">
        <v>279</v>
      </c>
      <c r="C42" s="5" t="s">
        <v>15</v>
      </c>
      <c r="D42" s="5" t="s">
        <v>16</v>
      </c>
      <c r="E42" s="5" t="s">
        <v>20</v>
      </c>
      <c r="F42" s="5" t="s">
        <v>78</v>
      </c>
      <c r="G42" s="5" t="s">
        <v>19</v>
      </c>
      <c r="H42" s="6">
        <v>15.2453849208639</v>
      </c>
      <c r="I42" s="28"/>
      <c r="J42" s="28"/>
      <c r="N42" s="8">
        <v>0</v>
      </c>
      <c r="O42" s="9">
        <v>60</v>
      </c>
      <c r="P42" s="5" t="s">
        <v>16</v>
      </c>
      <c r="Q42" s="19"/>
      <c r="R42" s="17"/>
      <c r="U42" s="19"/>
      <c r="V42" s="17"/>
      <c r="Y42" s="19"/>
      <c r="Z42" s="17"/>
      <c r="AC42" s="19"/>
    </row>
    <row r="43" spans="2:29" ht="15" customHeight="1" x14ac:dyDescent="0.2">
      <c r="H43" s="28"/>
      <c r="I43" s="28"/>
      <c r="J43" s="28"/>
      <c r="N43" s="8">
        <v>0</v>
      </c>
      <c r="O43" s="9">
        <v>60</v>
      </c>
      <c r="P43" s="5" t="s">
        <v>16</v>
      </c>
      <c r="Q43" s="19"/>
      <c r="R43" s="17"/>
      <c r="U43" s="19"/>
      <c r="V43" s="17"/>
      <c r="Y43" s="19"/>
      <c r="Z43" s="17"/>
      <c r="AC43" s="19"/>
    </row>
    <row r="44" spans="2:29" ht="15" customHeight="1" x14ac:dyDescent="0.2">
      <c r="B44" s="5" t="s">
        <v>21</v>
      </c>
      <c r="C44" s="5" t="s">
        <v>15</v>
      </c>
      <c r="D44" s="5" t="s">
        <v>16</v>
      </c>
      <c r="E44" s="5" t="s">
        <v>20</v>
      </c>
      <c r="F44" s="5" t="s">
        <v>79</v>
      </c>
      <c r="G44" s="5" t="s">
        <v>17</v>
      </c>
      <c r="H44" s="6">
        <v>15.743408001747399</v>
      </c>
      <c r="I44" s="28">
        <f>AVERAGE(H44:H46)</f>
        <v>15.640359730322267</v>
      </c>
      <c r="J44" s="28">
        <f>_xlfn.STDEV.S(H44:H46)</f>
        <v>8.9486943307677272E-2</v>
      </c>
      <c r="N44" s="8">
        <v>0</v>
      </c>
      <c r="O44" s="9">
        <v>60</v>
      </c>
      <c r="P44" s="5" t="s">
        <v>16</v>
      </c>
      <c r="Q44" s="19"/>
      <c r="R44" s="17"/>
      <c r="U44" s="19"/>
      <c r="V44" s="17"/>
      <c r="Y44" s="19"/>
      <c r="Z44" s="17"/>
      <c r="AC44" s="19"/>
    </row>
    <row r="45" spans="2:29" ht="15" customHeight="1" x14ac:dyDescent="0.2">
      <c r="B45" s="5" t="s">
        <v>23</v>
      </c>
      <c r="C45" s="5" t="s">
        <v>15</v>
      </c>
      <c r="D45" s="5" t="s">
        <v>16</v>
      </c>
      <c r="E45" s="5" t="s">
        <v>20</v>
      </c>
      <c r="F45" s="5" t="s">
        <v>79</v>
      </c>
      <c r="G45" s="5" t="s">
        <v>18</v>
      </c>
      <c r="H45" s="6">
        <v>15.5822247444548</v>
      </c>
      <c r="I45" s="28"/>
      <c r="J45" s="28"/>
      <c r="N45" s="8">
        <v>0</v>
      </c>
      <c r="O45" s="9">
        <v>60</v>
      </c>
      <c r="P45" s="5" t="s">
        <v>16</v>
      </c>
      <c r="Q45" s="19"/>
      <c r="R45" s="17"/>
      <c r="U45" s="19"/>
      <c r="V45" s="17"/>
      <c r="Y45" s="19"/>
      <c r="Z45" s="17"/>
      <c r="AC45" s="19"/>
    </row>
    <row r="46" spans="2:29" ht="15" customHeight="1" x14ac:dyDescent="0.2">
      <c r="B46" s="5" t="s">
        <v>24</v>
      </c>
      <c r="C46" s="5" t="s">
        <v>15</v>
      </c>
      <c r="D46" s="5" t="s">
        <v>16</v>
      </c>
      <c r="E46" s="5" t="s">
        <v>20</v>
      </c>
      <c r="F46" s="5" t="s">
        <v>79</v>
      </c>
      <c r="G46" s="5" t="s">
        <v>19</v>
      </c>
      <c r="H46" s="6">
        <v>15.595446444764599</v>
      </c>
      <c r="I46" s="28"/>
      <c r="J46" s="28"/>
      <c r="N46" s="8">
        <v>0</v>
      </c>
      <c r="O46" s="9">
        <v>60</v>
      </c>
      <c r="P46" s="5" t="s">
        <v>16</v>
      </c>
      <c r="Q46" s="19"/>
      <c r="R46" s="17"/>
      <c r="U46" s="19"/>
      <c r="V46" s="17"/>
      <c r="Y46" s="19"/>
      <c r="Z46" s="17"/>
      <c r="AC46" s="19"/>
    </row>
    <row r="47" spans="2:29" ht="15" customHeight="1" x14ac:dyDescent="0.2">
      <c r="B47" s="10"/>
      <c r="C47" s="10"/>
      <c r="D47" s="10"/>
      <c r="E47" s="10"/>
      <c r="F47" s="10"/>
      <c r="H47" s="28"/>
      <c r="I47" s="28"/>
      <c r="J47" s="28"/>
      <c r="N47" s="8">
        <v>0</v>
      </c>
      <c r="O47" s="9">
        <v>60</v>
      </c>
      <c r="P47" s="5" t="s">
        <v>16</v>
      </c>
      <c r="Q47" s="19"/>
      <c r="R47" s="17"/>
      <c r="U47" s="19"/>
      <c r="V47" s="17"/>
      <c r="Y47" s="19"/>
      <c r="Z47" s="17"/>
      <c r="AC47" s="19"/>
    </row>
    <row r="48" spans="2:29" ht="15" customHeight="1" x14ac:dyDescent="0.2">
      <c r="B48" s="5" t="s">
        <v>25</v>
      </c>
      <c r="C48" s="5" t="s">
        <v>15</v>
      </c>
      <c r="D48" s="5" t="s">
        <v>16</v>
      </c>
      <c r="E48" s="5" t="s">
        <v>20</v>
      </c>
      <c r="F48" s="5" t="s">
        <v>80</v>
      </c>
      <c r="G48" s="5" t="s">
        <v>17</v>
      </c>
      <c r="H48" s="6">
        <v>15.250623094236399</v>
      </c>
      <c r="I48" s="28">
        <f>AVERAGE(H48:H50)</f>
        <v>14.933917533043868</v>
      </c>
      <c r="J48" s="28">
        <f>_xlfn.STDEV.S(H48:H50)</f>
        <v>0.31821645209947591</v>
      </c>
      <c r="N48" s="8">
        <v>0</v>
      </c>
      <c r="O48" s="9">
        <v>60</v>
      </c>
      <c r="P48" s="5" t="s">
        <v>16</v>
      </c>
      <c r="Q48" s="19"/>
      <c r="R48" s="17"/>
      <c r="U48" s="19"/>
      <c r="V48" s="17"/>
      <c r="Y48" s="19"/>
      <c r="Z48" s="17"/>
      <c r="AC48" s="19"/>
    </row>
    <row r="49" spans="2:29" ht="15" customHeight="1" x14ac:dyDescent="0.2">
      <c r="B49" s="5" t="s">
        <v>27</v>
      </c>
      <c r="C49" s="5" t="s">
        <v>15</v>
      </c>
      <c r="D49" s="5" t="s">
        <v>16</v>
      </c>
      <c r="E49" s="5" t="s">
        <v>20</v>
      </c>
      <c r="F49" s="5" t="s">
        <v>80</v>
      </c>
      <c r="G49" s="5" t="s">
        <v>18</v>
      </c>
      <c r="H49" s="6">
        <v>14.936918094585501</v>
      </c>
      <c r="I49" s="28"/>
      <c r="J49" s="28"/>
      <c r="N49" s="8">
        <v>0</v>
      </c>
      <c r="O49" s="9">
        <v>60</v>
      </c>
      <c r="P49" s="5" t="s">
        <v>16</v>
      </c>
      <c r="Q49" s="19"/>
      <c r="R49" s="17"/>
      <c r="U49" s="19"/>
      <c r="V49" s="17"/>
      <c r="Y49" s="19"/>
      <c r="Z49" s="17"/>
      <c r="AC49" s="19"/>
    </row>
    <row r="50" spans="2:29" ht="15" customHeight="1" x14ac:dyDescent="0.2">
      <c r="B50" s="5" t="s">
        <v>28</v>
      </c>
      <c r="C50" s="5" t="s">
        <v>15</v>
      </c>
      <c r="D50" s="5" t="s">
        <v>16</v>
      </c>
      <c r="E50" s="5" t="s">
        <v>20</v>
      </c>
      <c r="F50" s="5" t="s">
        <v>80</v>
      </c>
      <c r="G50" s="5" t="s">
        <v>19</v>
      </c>
      <c r="H50" s="6">
        <v>14.6142114103097</v>
      </c>
      <c r="I50" s="28"/>
      <c r="J50" s="28"/>
      <c r="N50" s="8">
        <v>0</v>
      </c>
      <c r="O50" s="9">
        <v>60</v>
      </c>
      <c r="P50" s="5" t="s">
        <v>16</v>
      </c>
      <c r="Q50" s="19"/>
      <c r="R50" s="17"/>
      <c r="U50" s="19"/>
      <c r="V50" s="17"/>
      <c r="Y50" s="19"/>
      <c r="Z50" s="17"/>
      <c r="AC50" s="19"/>
    </row>
    <row r="51" spans="2:29" ht="15" customHeight="1" x14ac:dyDescent="0.2">
      <c r="B51" s="10"/>
      <c r="C51" s="10"/>
      <c r="D51" s="10"/>
      <c r="E51" s="10"/>
      <c r="F51" s="10"/>
      <c r="H51" s="28"/>
      <c r="I51" s="28"/>
      <c r="J51" s="28"/>
      <c r="N51" s="8">
        <v>0</v>
      </c>
      <c r="O51" s="9">
        <v>60</v>
      </c>
      <c r="P51" s="5" t="s">
        <v>16</v>
      </c>
      <c r="Q51" s="19"/>
      <c r="R51" s="17"/>
      <c r="U51" s="19"/>
      <c r="V51" s="17"/>
      <c r="Y51" s="19"/>
      <c r="Z51" s="17"/>
      <c r="AC51" s="19"/>
    </row>
    <row r="52" spans="2:29" ht="15" customHeight="1" x14ac:dyDescent="0.2">
      <c r="B52" s="5" t="s">
        <v>29</v>
      </c>
      <c r="C52" s="5" t="s">
        <v>15</v>
      </c>
      <c r="D52" s="5" t="s">
        <v>16</v>
      </c>
      <c r="E52" s="5" t="s">
        <v>20</v>
      </c>
      <c r="F52" s="5" t="s">
        <v>81</v>
      </c>
      <c r="G52" s="5" t="s">
        <v>17</v>
      </c>
      <c r="H52" s="6">
        <v>14.2710677696457</v>
      </c>
      <c r="I52" s="28">
        <f>AVERAGE(H52:H54)</f>
        <v>14.032000679377868</v>
      </c>
      <c r="J52" s="28">
        <f>_xlfn.STDEV.S(H52:H54)</f>
        <v>0.21098303686401063</v>
      </c>
      <c r="N52" s="8">
        <v>0</v>
      </c>
      <c r="O52" s="9">
        <v>60</v>
      </c>
      <c r="P52" s="5" t="s">
        <v>16</v>
      </c>
      <c r="Q52" s="19"/>
      <c r="R52" s="17"/>
      <c r="U52" s="19"/>
      <c r="V52" s="17"/>
      <c r="Y52" s="19"/>
      <c r="Z52" s="17"/>
      <c r="AC52" s="19"/>
    </row>
    <row r="53" spans="2:29" ht="15" customHeight="1" x14ac:dyDescent="0.2">
      <c r="B53" s="5" t="s">
        <v>31</v>
      </c>
      <c r="C53" s="5" t="s">
        <v>15</v>
      </c>
      <c r="D53" s="5" t="s">
        <v>16</v>
      </c>
      <c r="E53" s="5" t="s">
        <v>20</v>
      </c>
      <c r="F53" s="5" t="s">
        <v>81</v>
      </c>
      <c r="G53" s="5" t="s">
        <v>18</v>
      </c>
      <c r="H53" s="6">
        <v>13.9530754659939</v>
      </c>
      <c r="I53" s="28"/>
      <c r="J53" s="28"/>
      <c r="N53" s="8">
        <v>0</v>
      </c>
      <c r="O53" s="9">
        <v>60</v>
      </c>
      <c r="P53" s="5" t="s">
        <v>16</v>
      </c>
      <c r="Q53" s="19"/>
      <c r="R53" s="17"/>
      <c r="U53" s="19"/>
      <c r="V53" s="17"/>
      <c r="Y53" s="19"/>
      <c r="Z53" s="17"/>
      <c r="AC53" s="19"/>
    </row>
    <row r="54" spans="2:29" ht="15" customHeight="1" x14ac:dyDescent="0.2">
      <c r="B54" s="5" t="s">
        <v>32</v>
      </c>
      <c r="C54" s="5" t="s">
        <v>15</v>
      </c>
      <c r="D54" s="5" t="s">
        <v>16</v>
      </c>
      <c r="E54" s="5" t="s">
        <v>20</v>
      </c>
      <c r="F54" s="5" t="s">
        <v>81</v>
      </c>
      <c r="G54" s="5" t="s">
        <v>19</v>
      </c>
      <c r="H54" s="6">
        <v>13.871858802494</v>
      </c>
      <c r="I54" s="28"/>
      <c r="J54" s="28"/>
      <c r="N54" s="8">
        <v>0</v>
      </c>
      <c r="O54" s="9">
        <v>60</v>
      </c>
      <c r="P54" s="5" t="s">
        <v>16</v>
      </c>
      <c r="Q54" s="19"/>
      <c r="R54" s="17"/>
      <c r="U54" s="19"/>
      <c r="V54" s="17"/>
      <c r="Y54" s="19"/>
      <c r="Z54" s="17"/>
      <c r="AC54" s="19"/>
    </row>
    <row r="55" spans="2:29" x14ac:dyDescent="0.2">
      <c r="H55" s="28"/>
      <c r="I55" s="28"/>
      <c r="J55" s="28"/>
      <c r="Q55" s="19"/>
      <c r="R55" s="17"/>
      <c r="U55" s="19"/>
      <c r="V55" s="17"/>
      <c r="Y55" s="19"/>
      <c r="Z55" s="17"/>
      <c r="AC55" s="19"/>
    </row>
    <row r="56" spans="2:29" ht="15" customHeight="1" x14ac:dyDescent="0.2">
      <c r="B56" s="5" t="s">
        <v>33</v>
      </c>
      <c r="C56" s="5" t="s">
        <v>15</v>
      </c>
      <c r="D56" s="5" t="s">
        <v>16</v>
      </c>
      <c r="E56" s="5" t="s">
        <v>20</v>
      </c>
      <c r="F56" s="5" t="s">
        <v>82</v>
      </c>
      <c r="G56" s="5" t="s">
        <v>17</v>
      </c>
      <c r="H56" s="6">
        <v>15.72</v>
      </c>
      <c r="I56" s="28">
        <f>AVERAGE(H56:H58)</f>
        <v>15.483333333333334</v>
      </c>
      <c r="J56" s="28">
        <f>_xlfn.STDEV.S(H56:H58)</f>
        <v>0.21221058723196023</v>
      </c>
      <c r="N56" s="8">
        <v>0</v>
      </c>
      <c r="O56" s="9">
        <v>60</v>
      </c>
      <c r="P56" s="5" t="s">
        <v>16</v>
      </c>
      <c r="Q56" s="19"/>
      <c r="R56" s="17"/>
      <c r="U56" s="19"/>
      <c r="V56" s="17"/>
      <c r="Y56" s="19"/>
      <c r="Z56" s="17"/>
      <c r="AC56" s="19"/>
    </row>
    <row r="57" spans="2:29" ht="15" customHeight="1" x14ac:dyDescent="0.2">
      <c r="B57" s="5" t="s">
        <v>35</v>
      </c>
      <c r="C57" s="5" t="s">
        <v>15</v>
      </c>
      <c r="D57" s="5" t="s">
        <v>16</v>
      </c>
      <c r="E57" s="5" t="s">
        <v>20</v>
      </c>
      <c r="F57" s="5" t="s">
        <v>82</v>
      </c>
      <c r="G57" s="5" t="s">
        <v>18</v>
      </c>
      <c r="H57" s="6">
        <v>15.42</v>
      </c>
      <c r="I57" s="28"/>
      <c r="J57" s="28"/>
      <c r="N57" s="8">
        <v>0</v>
      </c>
      <c r="O57" s="9">
        <v>60</v>
      </c>
      <c r="P57" s="5" t="s">
        <v>16</v>
      </c>
      <c r="Q57" s="19"/>
      <c r="R57" s="17"/>
      <c r="U57" s="19"/>
      <c r="V57" s="17"/>
      <c r="Y57" s="19"/>
      <c r="Z57" s="17"/>
      <c r="AC57" s="19"/>
    </row>
    <row r="58" spans="2:29" ht="15" customHeight="1" x14ac:dyDescent="0.2">
      <c r="B58" s="5" t="s">
        <v>36</v>
      </c>
      <c r="C58" s="5" t="s">
        <v>15</v>
      </c>
      <c r="D58" s="5" t="s">
        <v>16</v>
      </c>
      <c r="E58" s="5" t="s">
        <v>20</v>
      </c>
      <c r="F58" s="5" t="s">
        <v>82</v>
      </c>
      <c r="G58" s="5" t="s">
        <v>19</v>
      </c>
      <c r="H58" s="6">
        <v>15.31</v>
      </c>
      <c r="I58" s="28"/>
      <c r="J58" s="28"/>
      <c r="N58" s="8">
        <v>0</v>
      </c>
      <c r="O58" s="9">
        <v>60</v>
      </c>
      <c r="P58" s="5" t="s">
        <v>16</v>
      </c>
      <c r="Q58" s="19"/>
      <c r="R58" s="17"/>
      <c r="U58" s="19"/>
      <c r="V58" s="17"/>
      <c r="Y58" s="19"/>
      <c r="Z58" s="17"/>
      <c r="AC58" s="19"/>
    </row>
    <row r="59" spans="2:29" x14ac:dyDescent="0.2">
      <c r="H59" s="28"/>
      <c r="I59" s="28"/>
      <c r="J59" s="28"/>
      <c r="Q59" s="19"/>
      <c r="R59" s="17"/>
      <c r="U59" s="19"/>
      <c r="V59" s="17"/>
      <c r="Y59" s="19"/>
      <c r="Z59" s="17"/>
      <c r="AC59" s="19"/>
    </row>
    <row r="60" spans="2:29" ht="15" customHeight="1" x14ac:dyDescent="0.2">
      <c r="B60" s="5" t="s">
        <v>37</v>
      </c>
      <c r="C60" s="5" t="s">
        <v>15</v>
      </c>
      <c r="D60" s="5" t="s">
        <v>16</v>
      </c>
      <c r="E60" s="5" t="s">
        <v>20</v>
      </c>
      <c r="F60" s="5" t="s">
        <v>83</v>
      </c>
      <c r="G60" s="5" t="s">
        <v>17</v>
      </c>
      <c r="H60" s="6">
        <v>15.6119883607931</v>
      </c>
      <c r="I60" s="28">
        <f>AVERAGE(H60:H62)</f>
        <v>15.360975721072734</v>
      </c>
      <c r="J60" s="28">
        <f>_xlfn.STDEV.S(H60:H62)</f>
        <v>0.21891656749346644</v>
      </c>
      <c r="N60" s="8">
        <v>0</v>
      </c>
      <c r="O60" s="9">
        <v>60</v>
      </c>
      <c r="P60" s="5" t="s">
        <v>16</v>
      </c>
      <c r="Q60" s="19"/>
      <c r="R60" s="17"/>
      <c r="U60" s="19"/>
      <c r="V60" s="17"/>
      <c r="Y60" s="19"/>
      <c r="Z60" s="17"/>
      <c r="AC60" s="19"/>
    </row>
    <row r="61" spans="2:29" ht="15" customHeight="1" x14ac:dyDescent="0.2">
      <c r="B61" s="5" t="s">
        <v>39</v>
      </c>
      <c r="C61" s="5" t="s">
        <v>15</v>
      </c>
      <c r="D61" s="5" t="s">
        <v>16</v>
      </c>
      <c r="E61" s="5" t="s">
        <v>20</v>
      </c>
      <c r="F61" s="5" t="s">
        <v>83</v>
      </c>
      <c r="G61" s="5" t="s">
        <v>18</v>
      </c>
      <c r="H61" s="6">
        <v>15.2096052455414</v>
      </c>
      <c r="I61" s="28"/>
      <c r="J61" s="28"/>
      <c r="N61" s="8">
        <v>0</v>
      </c>
      <c r="O61" s="9">
        <v>60</v>
      </c>
      <c r="P61" s="5" t="s">
        <v>16</v>
      </c>
      <c r="Q61" s="19"/>
      <c r="R61" s="17"/>
      <c r="U61" s="19"/>
      <c r="V61" s="17"/>
      <c r="Y61" s="19"/>
      <c r="Z61" s="17"/>
      <c r="AC61" s="19"/>
    </row>
    <row r="62" spans="2:29" ht="15" customHeight="1" x14ac:dyDescent="0.2">
      <c r="B62" s="5" t="s">
        <v>40</v>
      </c>
      <c r="C62" s="5" t="s">
        <v>15</v>
      </c>
      <c r="D62" s="5" t="s">
        <v>16</v>
      </c>
      <c r="E62" s="5" t="s">
        <v>20</v>
      </c>
      <c r="F62" s="5" t="s">
        <v>83</v>
      </c>
      <c r="G62" s="5" t="s">
        <v>19</v>
      </c>
      <c r="H62" s="6">
        <v>15.261333556883701</v>
      </c>
      <c r="I62" s="28"/>
      <c r="J62" s="28"/>
      <c r="N62" s="8">
        <v>0</v>
      </c>
      <c r="O62" s="9">
        <v>60</v>
      </c>
      <c r="P62" s="5" t="s">
        <v>16</v>
      </c>
      <c r="Q62" s="19"/>
      <c r="R62" s="17"/>
      <c r="U62" s="19"/>
      <c r="V62" s="17"/>
      <c r="Y62" s="19"/>
      <c r="Z62" s="17"/>
      <c r="AC62" s="19"/>
    </row>
    <row r="63" spans="2:29" x14ac:dyDescent="0.2">
      <c r="H63" s="28"/>
      <c r="I63" s="28"/>
      <c r="J63" s="28"/>
      <c r="Q63" s="19"/>
      <c r="R63" s="17"/>
      <c r="U63" s="19"/>
      <c r="V63" s="17"/>
      <c r="Y63" s="19"/>
      <c r="Z63" s="17"/>
      <c r="AC63" s="19"/>
    </row>
    <row r="64" spans="2:29" ht="15" customHeight="1" x14ac:dyDescent="0.2">
      <c r="B64" s="5" t="s">
        <v>41</v>
      </c>
      <c r="C64" s="5" t="s">
        <v>15</v>
      </c>
      <c r="D64" s="5" t="s">
        <v>16</v>
      </c>
      <c r="E64" s="5" t="s">
        <v>20</v>
      </c>
      <c r="F64" s="5" t="s">
        <v>84</v>
      </c>
      <c r="G64" s="5" t="s">
        <v>17</v>
      </c>
      <c r="H64" s="6">
        <v>16.036643001534301</v>
      </c>
      <c r="I64" s="28">
        <f>AVERAGE(H64:H66)</f>
        <v>15.648226538072867</v>
      </c>
      <c r="J64" s="28">
        <f>_xlfn.STDEV.S(H64:H66)</f>
        <v>0.34040544741689144</v>
      </c>
      <c r="N64" s="8">
        <v>0</v>
      </c>
      <c r="O64" s="9">
        <v>60</v>
      </c>
      <c r="P64" s="5" t="s">
        <v>16</v>
      </c>
      <c r="Q64" s="19"/>
      <c r="R64" s="17"/>
      <c r="U64" s="19"/>
      <c r="V64" s="17"/>
      <c r="Y64" s="19"/>
      <c r="Z64" s="17"/>
      <c r="AC64" s="19"/>
    </row>
    <row r="65" spans="2:29" ht="15" customHeight="1" x14ac:dyDescent="0.2">
      <c r="B65" s="5" t="s">
        <v>43</v>
      </c>
      <c r="C65" s="5" t="s">
        <v>15</v>
      </c>
      <c r="D65" s="5" t="s">
        <v>16</v>
      </c>
      <c r="E65" s="5" t="s">
        <v>20</v>
      </c>
      <c r="F65" s="5" t="s">
        <v>84</v>
      </c>
      <c r="G65" s="5" t="s">
        <v>18</v>
      </c>
      <c r="H65" s="6">
        <v>15.4018133562399</v>
      </c>
      <c r="I65" s="28"/>
      <c r="J65" s="28"/>
      <c r="N65" s="8">
        <v>0</v>
      </c>
      <c r="O65" s="9">
        <v>60</v>
      </c>
      <c r="P65" s="5" t="s">
        <v>16</v>
      </c>
      <c r="Q65" s="19"/>
      <c r="R65" s="17"/>
      <c r="U65" s="19"/>
      <c r="V65" s="17"/>
      <c r="Y65" s="19"/>
      <c r="Z65" s="17"/>
      <c r="AC65" s="19"/>
    </row>
    <row r="66" spans="2:29" ht="15" customHeight="1" x14ac:dyDescent="0.2">
      <c r="B66" s="5" t="s">
        <v>44</v>
      </c>
      <c r="C66" s="5" t="s">
        <v>15</v>
      </c>
      <c r="D66" s="5" t="s">
        <v>16</v>
      </c>
      <c r="E66" s="5" t="s">
        <v>20</v>
      </c>
      <c r="F66" s="5" t="s">
        <v>84</v>
      </c>
      <c r="G66" s="5" t="s">
        <v>19</v>
      </c>
      <c r="H66" s="6">
        <v>15.5062232564444</v>
      </c>
      <c r="I66" s="28"/>
      <c r="J66" s="28"/>
      <c r="N66" s="8">
        <v>0</v>
      </c>
      <c r="O66" s="9">
        <v>60</v>
      </c>
      <c r="P66" s="5" t="s">
        <v>16</v>
      </c>
      <c r="Q66" s="19"/>
      <c r="R66" s="17"/>
      <c r="U66" s="19"/>
      <c r="V66" s="17"/>
      <c r="Y66" s="19"/>
      <c r="Z66" s="17"/>
      <c r="AC66" s="19"/>
    </row>
    <row r="67" spans="2:29" ht="15" customHeight="1" x14ac:dyDescent="0.2">
      <c r="B67" s="11"/>
      <c r="C67" s="11"/>
      <c r="D67" s="11"/>
      <c r="E67" s="11"/>
      <c r="F67" s="11"/>
      <c r="G67" s="11"/>
      <c r="H67" s="29"/>
      <c r="I67" s="29"/>
      <c r="J67" s="29"/>
      <c r="K67" s="13"/>
      <c r="L67" s="12"/>
      <c r="M67" s="13"/>
      <c r="N67" s="13">
        <v>0</v>
      </c>
      <c r="O67" s="14">
        <v>60</v>
      </c>
      <c r="P67" s="11" t="s">
        <v>16</v>
      </c>
      <c r="Q67" s="20"/>
      <c r="R67" s="16"/>
      <c r="U67" s="20"/>
      <c r="V67" s="16"/>
      <c r="Y67" s="20"/>
      <c r="Z67" s="16"/>
      <c r="AC67" s="20"/>
    </row>
    <row r="68" spans="2:29" ht="15" customHeight="1" x14ac:dyDescent="0.2">
      <c r="B68" s="21"/>
      <c r="C68" s="21"/>
      <c r="D68" s="21"/>
      <c r="E68" s="21"/>
      <c r="F68" s="21"/>
      <c r="G68" s="21"/>
      <c r="H68" s="30"/>
      <c r="I68" s="30"/>
      <c r="J68" s="30"/>
      <c r="K68" s="21"/>
      <c r="L68" s="21"/>
      <c r="M68" s="21"/>
      <c r="N68" s="21">
        <v>0</v>
      </c>
      <c r="O68" s="21">
        <v>60</v>
      </c>
      <c r="P68" s="21" t="s">
        <v>16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2:29" ht="15" customHeight="1" x14ac:dyDescent="0.2">
      <c r="B69" s="10"/>
      <c r="C69" s="10"/>
      <c r="D69" s="10"/>
      <c r="E69" s="10"/>
      <c r="F69" s="10"/>
      <c r="G69" s="10"/>
      <c r="H69" s="28"/>
      <c r="I69" s="28"/>
      <c r="J69" s="28"/>
      <c r="K69" s="10"/>
      <c r="L69" s="10"/>
      <c r="M69" s="10"/>
      <c r="N69" s="10"/>
      <c r="O69" s="10"/>
      <c r="P69" s="10"/>
      <c r="Q69" s="19"/>
      <c r="R69" s="17"/>
      <c r="U69" s="19"/>
      <c r="V69" s="17"/>
      <c r="Y69" s="19"/>
      <c r="Z69" s="17"/>
      <c r="AC69" s="19"/>
    </row>
    <row r="70" spans="2:29" ht="15" customHeight="1" x14ac:dyDescent="0.2">
      <c r="B70" s="5" t="s">
        <v>45</v>
      </c>
      <c r="C70" s="5" t="s">
        <v>15</v>
      </c>
      <c r="D70" s="5" t="s">
        <v>16</v>
      </c>
      <c r="E70" s="5" t="s">
        <v>20</v>
      </c>
      <c r="F70" s="5" t="s">
        <v>85</v>
      </c>
      <c r="G70" s="5" t="s">
        <v>17</v>
      </c>
      <c r="H70" s="6">
        <v>18.265534946155899</v>
      </c>
      <c r="I70" s="28">
        <f>AVERAGE(H70:H72)</f>
        <v>18.218681898287301</v>
      </c>
      <c r="J70" s="28">
        <f>_xlfn.STDEV.S(H70:H72)</f>
        <v>4.1523424888577562E-2</v>
      </c>
      <c r="N70" s="8">
        <v>0</v>
      </c>
      <c r="O70" s="9">
        <v>60</v>
      </c>
      <c r="P70" s="5" t="s">
        <v>16</v>
      </c>
      <c r="Q70" s="19"/>
      <c r="R70" s="17"/>
      <c r="U70" s="19"/>
      <c r="V70" s="17"/>
      <c r="Y70" s="19"/>
      <c r="Z70" s="17"/>
      <c r="AC70" s="19"/>
    </row>
    <row r="71" spans="2:29" x14ac:dyDescent="0.2">
      <c r="B71" s="5" t="s">
        <v>47</v>
      </c>
      <c r="C71" s="5" t="s">
        <v>15</v>
      </c>
      <c r="D71" s="5" t="s">
        <v>16</v>
      </c>
      <c r="E71" s="5" t="s">
        <v>20</v>
      </c>
      <c r="F71" s="5" t="s">
        <v>85</v>
      </c>
      <c r="G71" s="5" t="s">
        <v>18</v>
      </c>
      <c r="H71" s="6">
        <v>18.204075167068499</v>
      </c>
      <c r="I71" s="28"/>
      <c r="J71" s="28"/>
      <c r="Q71" s="19"/>
      <c r="R71" s="17"/>
      <c r="U71" s="19"/>
      <c r="V71" s="17"/>
      <c r="Y71" s="19"/>
      <c r="Z71" s="17"/>
      <c r="AC71" s="19"/>
    </row>
    <row r="72" spans="2:29" ht="15" customHeight="1" x14ac:dyDescent="0.2">
      <c r="B72" s="5" t="s">
        <v>48</v>
      </c>
      <c r="C72" s="5" t="s">
        <v>15</v>
      </c>
      <c r="D72" s="5" t="s">
        <v>16</v>
      </c>
      <c r="E72" s="5" t="s">
        <v>20</v>
      </c>
      <c r="F72" s="5" t="s">
        <v>85</v>
      </c>
      <c r="G72" s="5" t="s">
        <v>19</v>
      </c>
      <c r="H72" s="6">
        <v>18.1864355816375</v>
      </c>
      <c r="I72" s="28"/>
      <c r="J72" s="28"/>
      <c r="Q72" s="19"/>
      <c r="R72" s="17"/>
      <c r="U72" s="19"/>
      <c r="V72" s="17"/>
      <c r="Y72" s="19"/>
      <c r="Z72" s="17"/>
      <c r="AC72" s="19"/>
    </row>
    <row r="73" spans="2:29" ht="15" customHeight="1" x14ac:dyDescent="0.2">
      <c r="H73" s="28"/>
      <c r="I73" s="28"/>
      <c r="J73" s="28"/>
      <c r="N73" s="8">
        <v>0</v>
      </c>
      <c r="O73" s="9">
        <v>60</v>
      </c>
      <c r="P73" s="5" t="s">
        <v>16</v>
      </c>
      <c r="Q73" s="19"/>
      <c r="R73" s="17"/>
      <c r="U73" s="19"/>
      <c r="V73" s="17"/>
      <c r="Y73" s="19"/>
      <c r="Z73" s="17"/>
      <c r="AC73" s="19"/>
    </row>
    <row r="74" spans="2:29" ht="15" customHeight="1" x14ac:dyDescent="0.2">
      <c r="B74" s="5" t="s">
        <v>49</v>
      </c>
      <c r="C74" s="5" t="s">
        <v>15</v>
      </c>
      <c r="D74" s="5" t="s">
        <v>16</v>
      </c>
      <c r="E74" s="5" t="s">
        <v>20</v>
      </c>
      <c r="F74" s="5" t="s">
        <v>86</v>
      </c>
      <c r="G74" s="5" t="s">
        <v>17</v>
      </c>
      <c r="H74" s="6">
        <v>17.8810585350612</v>
      </c>
      <c r="I74" s="28">
        <f>AVERAGE(H74:H76)</f>
        <v>17.82550608101597</v>
      </c>
      <c r="J74" s="28">
        <f>_xlfn.STDEV.S(H74:H76)</f>
        <v>5.2389996755358673E-2</v>
      </c>
      <c r="N74" s="8">
        <v>0</v>
      </c>
      <c r="O74" s="9">
        <v>60</v>
      </c>
      <c r="P74" s="5" t="s">
        <v>16</v>
      </c>
      <c r="Q74" s="19"/>
      <c r="R74" s="17"/>
      <c r="U74" s="19"/>
      <c r="V74" s="17"/>
      <c r="Y74" s="19"/>
      <c r="Z74" s="17"/>
      <c r="AC74" s="19"/>
    </row>
    <row r="75" spans="2:29" x14ac:dyDescent="0.2">
      <c r="B75" s="5" t="s">
        <v>51</v>
      </c>
      <c r="C75" s="5" t="s">
        <v>15</v>
      </c>
      <c r="D75" s="5" t="s">
        <v>16</v>
      </c>
      <c r="E75" s="5" t="s">
        <v>20</v>
      </c>
      <c r="F75" s="5" t="s">
        <v>86</v>
      </c>
      <c r="G75" s="5" t="s">
        <v>18</v>
      </c>
      <c r="H75" s="6">
        <v>17.776989666019499</v>
      </c>
      <c r="I75" s="28"/>
      <c r="J75" s="28"/>
      <c r="N75" s="8">
        <v>0</v>
      </c>
      <c r="O75" s="9">
        <v>60</v>
      </c>
      <c r="P75" s="5" t="s">
        <v>16</v>
      </c>
      <c r="Q75" s="19"/>
      <c r="R75" s="17"/>
      <c r="U75" s="19"/>
      <c r="V75" s="17"/>
      <c r="Y75" s="19"/>
      <c r="Z75" s="17"/>
      <c r="AC75" s="19"/>
    </row>
    <row r="76" spans="2:29" x14ac:dyDescent="0.2">
      <c r="B76" s="5" t="s">
        <v>52</v>
      </c>
      <c r="C76" s="5" t="s">
        <v>15</v>
      </c>
      <c r="D76" s="5" t="s">
        <v>16</v>
      </c>
      <c r="E76" s="5" t="s">
        <v>20</v>
      </c>
      <c r="F76" s="5" t="s">
        <v>86</v>
      </c>
      <c r="G76" s="5" t="s">
        <v>19</v>
      </c>
      <c r="H76" s="6">
        <v>17.818470041967199</v>
      </c>
      <c r="I76" s="28"/>
      <c r="J76" s="28"/>
      <c r="N76" s="8">
        <v>0</v>
      </c>
      <c r="O76" s="9">
        <v>60</v>
      </c>
      <c r="P76" s="5" t="s">
        <v>16</v>
      </c>
      <c r="Q76" s="19"/>
      <c r="R76" s="17"/>
      <c r="U76" s="19"/>
      <c r="V76" s="17"/>
      <c r="Y76" s="19"/>
      <c r="Z76" s="17"/>
      <c r="AC76" s="19"/>
    </row>
    <row r="77" spans="2:29" x14ac:dyDescent="0.2">
      <c r="H77" s="28"/>
      <c r="I77" s="28"/>
      <c r="J77" s="28"/>
      <c r="N77" s="8">
        <v>0</v>
      </c>
      <c r="O77" s="9">
        <v>60</v>
      </c>
      <c r="P77" s="5" t="s">
        <v>16</v>
      </c>
      <c r="Q77" s="19"/>
      <c r="R77" s="17"/>
      <c r="U77" s="19"/>
      <c r="V77" s="17"/>
      <c r="Y77" s="19"/>
      <c r="Z77" s="17"/>
      <c r="AC77" s="19"/>
    </row>
    <row r="78" spans="2:29" x14ac:dyDescent="0.2">
      <c r="B78" s="5" t="s">
        <v>301</v>
      </c>
      <c r="C78" s="5" t="s">
        <v>15</v>
      </c>
      <c r="D78" s="5" t="s">
        <v>16</v>
      </c>
      <c r="E78" s="5" t="s">
        <v>20</v>
      </c>
      <c r="F78" s="5" t="s">
        <v>87</v>
      </c>
      <c r="G78" s="5" t="s">
        <v>17</v>
      </c>
      <c r="H78" s="6">
        <v>18.113430059716599</v>
      </c>
      <c r="I78" s="28">
        <f>AVERAGE(H78:H80)</f>
        <v>18.152321126273304</v>
      </c>
      <c r="J78" s="28">
        <f>_xlfn.STDEV.S(H78:H80)</f>
        <v>5.3168312285096476E-2</v>
      </c>
      <c r="N78" s="8">
        <v>0</v>
      </c>
      <c r="O78" s="9">
        <v>60</v>
      </c>
      <c r="P78" s="5" t="s">
        <v>16</v>
      </c>
      <c r="Q78" s="19"/>
      <c r="R78" s="17"/>
      <c r="U78" s="19"/>
      <c r="V78" s="17"/>
      <c r="Y78" s="19"/>
      <c r="Z78" s="17"/>
      <c r="AC78" s="19"/>
    </row>
    <row r="79" spans="2:29" x14ac:dyDescent="0.2">
      <c r="B79" s="5" t="s">
        <v>302</v>
      </c>
      <c r="C79" s="5" t="s">
        <v>15</v>
      </c>
      <c r="D79" s="5" t="s">
        <v>16</v>
      </c>
      <c r="E79" s="5" t="s">
        <v>20</v>
      </c>
      <c r="F79" s="5" t="s">
        <v>87</v>
      </c>
      <c r="G79" s="5" t="s">
        <v>18</v>
      </c>
      <c r="H79" s="6">
        <v>18.130626859627402</v>
      </c>
      <c r="I79" s="28"/>
      <c r="J79" s="28"/>
      <c r="N79" s="8">
        <v>0</v>
      </c>
      <c r="O79" s="9">
        <v>60</v>
      </c>
      <c r="P79" s="5" t="s">
        <v>16</v>
      </c>
      <c r="Q79" s="19"/>
      <c r="R79" s="17"/>
      <c r="U79" s="19"/>
      <c r="V79" s="17"/>
      <c r="Y79" s="19"/>
      <c r="Z79" s="17"/>
      <c r="AC79" s="19"/>
    </row>
    <row r="80" spans="2:29" x14ac:dyDescent="0.2">
      <c r="B80" s="5" t="s">
        <v>303</v>
      </c>
      <c r="C80" s="5" t="s">
        <v>15</v>
      </c>
      <c r="D80" s="5" t="s">
        <v>16</v>
      </c>
      <c r="E80" s="5" t="s">
        <v>20</v>
      </c>
      <c r="F80" s="5" t="s">
        <v>87</v>
      </c>
      <c r="G80" s="5" t="s">
        <v>19</v>
      </c>
      <c r="H80" s="6">
        <v>18.212906459475899</v>
      </c>
      <c r="I80" s="28"/>
      <c r="J80" s="28"/>
      <c r="N80" s="8">
        <v>0</v>
      </c>
      <c r="O80" s="9">
        <v>60</v>
      </c>
      <c r="P80" s="5" t="s">
        <v>16</v>
      </c>
      <c r="Q80" s="19"/>
      <c r="R80" s="17"/>
      <c r="U80" s="19"/>
      <c r="V80" s="17"/>
      <c r="Y80" s="19"/>
      <c r="Z80" s="17"/>
      <c r="AC80" s="19"/>
    </row>
    <row r="81" spans="2:29" x14ac:dyDescent="0.2">
      <c r="B81" s="10"/>
      <c r="C81" s="10"/>
      <c r="D81" s="10"/>
      <c r="E81" s="10"/>
      <c r="F81" s="10"/>
      <c r="H81" s="28"/>
      <c r="I81" s="28"/>
      <c r="J81" s="28"/>
      <c r="N81" s="8">
        <v>0</v>
      </c>
      <c r="O81" s="9">
        <v>60</v>
      </c>
      <c r="P81" s="5" t="s">
        <v>16</v>
      </c>
      <c r="Q81" s="19"/>
      <c r="R81" s="17"/>
      <c r="U81" s="19"/>
      <c r="V81" s="17"/>
      <c r="Y81" s="19"/>
      <c r="Z81" s="17"/>
      <c r="AC81" s="19"/>
    </row>
    <row r="82" spans="2:29" x14ac:dyDescent="0.2">
      <c r="B82" s="5" t="s">
        <v>304</v>
      </c>
      <c r="C82" s="5" t="s">
        <v>15</v>
      </c>
      <c r="D82" s="5" t="s">
        <v>16</v>
      </c>
      <c r="E82" s="5" t="s">
        <v>20</v>
      </c>
      <c r="F82" s="5" t="s">
        <v>88</v>
      </c>
      <c r="G82" s="5" t="s">
        <v>17</v>
      </c>
      <c r="H82" s="6">
        <v>17.713790018209</v>
      </c>
      <c r="I82" s="28">
        <f>AVERAGE(H82:H84)</f>
        <v>17.619271012089566</v>
      </c>
      <c r="J82" s="28">
        <f>_xlfn.STDEV.S(H82:H84)</f>
        <v>0.11961674897285159</v>
      </c>
      <c r="N82" s="8">
        <v>0</v>
      </c>
      <c r="O82" s="9">
        <v>60</v>
      </c>
      <c r="P82" s="5" t="s">
        <v>16</v>
      </c>
      <c r="Q82" s="19"/>
      <c r="R82" s="17"/>
      <c r="U82" s="19"/>
      <c r="V82" s="17"/>
      <c r="Y82" s="19"/>
      <c r="Z82" s="17"/>
      <c r="AC82" s="19"/>
    </row>
    <row r="83" spans="2:29" x14ac:dyDescent="0.2">
      <c r="B83" s="5" t="s">
        <v>305</v>
      </c>
      <c r="C83" s="5" t="s">
        <v>15</v>
      </c>
      <c r="D83" s="5" t="s">
        <v>16</v>
      </c>
      <c r="E83" s="5" t="s">
        <v>20</v>
      </c>
      <c r="F83" s="5" t="s">
        <v>88</v>
      </c>
      <c r="G83" s="5" t="s">
        <v>18</v>
      </c>
      <c r="H83" s="6">
        <v>17.659234125056201</v>
      </c>
      <c r="I83" s="28"/>
      <c r="J83" s="28"/>
      <c r="N83" s="8">
        <v>0</v>
      </c>
      <c r="O83" s="9">
        <v>60</v>
      </c>
      <c r="P83" s="5" t="s">
        <v>16</v>
      </c>
      <c r="Q83" s="19"/>
      <c r="R83" s="17"/>
      <c r="U83" s="19"/>
      <c r="V83" s="17"/>
      <c r="Y83" s="19"/>
      <c r="Z83" s="17"/>
      <c r="AC83" s="19"/>
    </row>
    <row r="84" spans="2:29" x14ac:dyDescent="0.2">
      <c r="B84" s="5" t="s">
        <v>306</v>
      </c>
      <c r="C84" s="5" t="s">
        <v>15</v>
      </c>
      <c r="D84" s="5" t="s">
        <v>16</v>
      </c>
      <c r="E84" s="5" t="s">
        <v>20</v>
      </c>
      <c r="F84" s="5" t="s">
        <v>88</v>
      </c>
      <c r="G84" s="5" t="s">
        <v>19</v>
      </c>
      <c r="H84" s="6">
        <v>17.4847888930035</v>
      </c>
      <c r="I84" s="28"/>
      <c r="J84" s="28"/>
      <c r="N84" s="8">
        <v>0</v>
      </c>
      <c r="O84" s="9">
        <v>60</v>
      </c>
      <c r="P84" s="5" t="s">
        <v>16</v>
      </c>
      <c r="Q84" s="19"/>
      <c r="R84" s="17"/>
      <c r="U84" s="19"/>
      <c r="V84" s="17"/>
      <c r="Y84" s="19"/>
      <c r="Z84" s="17"/>
      <c r="AC84" s="19"/>
    </row>
    <row r="85" spans="2:29" x14ac:dyDescent="0.2">
      <c r="B85" s="10"/>
      <c r="C85" s="10"/>
      <c r="D85" s="10"/>
      <c r="E85" s="10"/>
      <c r="F85" s="10"/>
      <c r="H85" s="28"/>
      <c r="I85" s="28"/>
      <c r="J85" s="28"/>
      <c r="N85" s="8">
        <v>0</v>
      </c>
      <c r="O85" s="9">
        <v>60</v>
      </c>
      <c r="P85" s="5" t="s">
        <v>16</v>
      </c>
      <c r="Q85" s="19"/>
      <c r="R85" s="17"/>
      <c r="U85" s="19"/>
      <c r="V85" s="17"/>
      <c r="Y85" s="19"/>
      <c r="Z85" s="17"/>
      <c r="AC85" s="19"/>
    </row>
    <row r="86" spans="2:29" x14ac:dyDescent="0.2">
      <c r="B86" s="5" t="s">
        <v>307</v>
      </c>
      <c r="C86" s="5" t="s">
        <v>15</v>
      </c>
      <c r="D86" s="5" t="s">
        <v>16</v>
      </c>
      <c r="E86" s="5" t="s">
        <v>20</v>
      </c>
      <c r="F86" s="5" t="s">
        <v>89</v>
      </c>
      <c r="G86" s="5" t="s">
        <v>17</v>
      </c>
      <c r="H86" s="6">
        <v>16.542524192023699</v>
      </c>
      <c r="I86" s="28">
        <f>AVERAGE(H86:H88)</f>
        <v>16.556201972339466</v>
      </c>
      <c r="J86" s="28">
        <f>_xlfn.STDEV.S(H86:H88)</f>
        <v>4.4251536820068285E-2</v>
      </c>
      <c r="N86" s="8">
        <v>0</v>
      </c>
      <c r="O86" s="9">
        <v>60</v>
      </c>
      <c r="P86" s="5" t="s">
        <v>16</v>
      </c>
      <c r="Q86" s="19"/>
      <c r="R86" s="17"/>
      <c r="U86" s="19"/>
      <c r="V86" s="17"/>
      <c r="Y86" s="19"/>
      <c r="Z86" s="17"/>
      <c r="AC86" s="19"/>
    </row>
    <row r="87" spans="2:29" x14ac:dyDescent="0.2">
      <c r="B87" s="5" t="s">
        <v>308</v>
      </c>
      <c r="C87" s="5" t="s">
        <v>15</v>
      </c>
      <c r="D87" s="5" t="s">
        <v>16</v>
      </c>
      <c r="E87" s="5" t="s">
        <v>20</v>
      </c>
      <c r="F87" s="5" t="s">
        <v>89</v>
      </c>
      <c r="G87" s="5" t="s">
        <v>18</v>
      </c>
      <c r="H87" s="6">
        <v>16.605677551570999</v>
      </c>
      <c r="I87" s="28"/>
      <c r="J87" s="28"/>
      <c r="N87" s="8">
        <v>0</v>
      </c>
      <c r="O87" s="9">
        <v>60</v>
      </c>
      <c r="P87" s="5" t="s">
        <v>16</v>
      </c>
      <c r="Q87" s="19"/>
      <c r="R87" s="17"/>
      <c r="U87" s="19"/>
      <c r="V87" s="17"/>
      <c r="Y87" s="19"/>
      <c r="Z87" s="17"/>
      <c r="AC87" s="19"/>
    </row>
    <row r="88" spans="2:29" x14ac:dyDescent="0.2">
      <c r="B88" s="5" t="s">
        <v>309</v>
      </c>
      <c r="C88" s="5" t="s">
        <v>15</v>
      </c>
      <c r="D88" s="5" t="s">
        <v>16</v>
      </c>
      <c r="E88" s="5" t="s">
        <v>20</v>
      </c>
      <c r="F88" s="5" t="s">
        <v>89</v>
      </c>
      <c r="G88" s="5" t="s">
        <v>19</v>
      </c>
      <c r="H88" s="6">
        <v>16.520404173423699</v>
      </c>
      <c r="I88" s="28"/>
      <c r="J88" s="28"/>
      <c r="N88" s="8">
        <v>0</v>
      </c>
      <c r="O88" s="9">
        <v>60</v>
      </c>
      <c r="P88" s="5" t="s">
        <v>16</v>
      </c>
      <c r="Q88" s="19"/>
      <c r="R88" s="17"/>
      <c r="U88" s="19"/>
      <c r="V88" s="17"/>
      <c r="Y88" s="19"/>
      <c r="Z88" s="17"/>
      <c r="AC88" s="19"/>
    </row>
    <row r="89" spans="2:29" x14ac:dyDescent="0.2">
      <c r="H89" s="28"/>
      <c r="I89" s="28"/>
      <c r="J89" s="28"/>
      <c r="Q89" s="19"/>
      <c r="R89" s="17"/>
      <c r="U89" s="19"/>
      <c r="V89" s="17"/>
      <c r="Y89" s="19"/>
      <c r="Z89" s="17"/>
      <c r="AC89" s="19"/>
    </row>
    <row r="90" spans="2:29" x14ac:dyDescent="0.2">
      <c r="B90" s="5" t="s">
        <v>310</v>
      </c>
      <c r="C90" s="5" t="s">
        <v>15</v>
      </c>
      <c r="D90" s="5" t="s">
        <v>16</v>
      </c>
      <c r="E90" s="5" t="s">
        <v>20</v>
      </c>
      <c r="F90" s="5" t="s">
        <v>90</v>
      </c>
      <c r="G90" s="5" t="s">
        <v>17</v>
      </c>
      <c r="H90" s="6">
        <v>19.101177663006101</v>
      </c>
      <c r="I90" s="28">
        <f>AVERAGE(H90:H92)</f>
        <v>19.128921268909398</v>
      </c>
      <c r="J90" s="28">
        <f>_xlfn.STDEV.S(H90:H92)</f>
        <v>3.4735669891134607E-2</v>
      </c>
      <c r="N90" s="8">
        <v>0</v>
      </c>
      <c r="O90" s="9">
        <v>60</v>
      </c>
      <c r="P90" s="5" t="s">
        <v>16</v>
      </c>
      <c r="Q90" s="19"/>
      <c r="R90" s="17"/>
      <c r="U90" s="19"/>
      <c r="V90" s="17"/>
      <c r="Y90" s="19"/>
      <c r="Z90" s="17"/>
      <c r="AC90" s="19"/>
    </row>
    <row r="91" spans="2:29" x14ac:dyDescent="0.2">
      <c r="B91" s="5" t="s">
        <v>311</v>
      </c>
      <c r="C91" s="5" t="s">
        <v>15</v>
      </c>
      <c r="D91" s="5" t="s">
        <v>16</v>
      </c>
      <c r="E91" s="5" t="s">
        <v>20</v>
      </c>
      <c r="F91" s="5" t="s">
        <v>90</v>
      </c>
      <c r="G91" s="5" t="s">
        <v>18</v>
      </c>
      <c r="H91" s="6">
        <v>19.1177074980905</v>
      </c>
      <c r="I91" s="28"/>
      <c r="J91" s="28"/>
      <c r="N91" s="8">
        <v>0</v>
      </c>
      <c r="O91" s="9">
        <v>60</v>
      </c>
      <c r="P91" s="5" t="s">
        <v>16</v>
      </c>
      <c r="Q91" s="19"/>
      <c r="R91" s="17"/>
      <c r="U91" s="19"/>
      <c r="V91" s="17"/>
      <c r="Y91" s="19"/>
      <c r="Z91" s="17"/>
      <c r="AC91" s="19"/>
    </row>
    <row r="92" spans="2:29" x14ac:dyDescent="0.2">
      <c r="B92" s="5" t="s">
        <v>312</v>
      </c>
      <c r="C92" s="5" t="s">
        <v>15</v>
      </c>
      <c r="D92" s="5" t="s">
        <v>16</v>
      </c>
      <c r="E92" s="5" t="s">
        <v>20</v>
      </c>
      <c r="F92" s="5" t="s">
        <v>90</v>
      </c>
      <c r="G92" s="5" t="s">
        <v>19</v>
      </c>
      <c r="H92" s="6">
        <v>19.1678786456316</v>
      </c>
      <c r="I92" s="28"/>
      <c r="J92" s="28"/>
      <c r="N92" s="8">
        <v>0</v>
      </c>
      <c r="O92" s="9">
        <v>60</v>
      </c>
      <c r="P92" s="5" t="s">
        <v>16</v>
      </c>
      <c r="Q92" s="19"/>
      <c r="R92" s="17"/>
      <c r="U92" s="19"/>
      <c r="V92" s="17"/>
      <c r="Y92" s="19"/>
      <c r="Z92" s="17"/>
      <c r="AC92" s="19"/>
    </row>
    <row r="93" spans="2:29" x14ac:dyDescent="0.2">
      <c r="H93" s="28"/>
      <c r="I93" s="28"/>
      <c r="J93" s="28"/>
      <c r="Q93" s="19"/>
      <c r="R93" s="17"/>
      <c r="U93" s="19"/>
      <c r="V93" s="17"/>
      <c r="Y93" s="19"/>
      <c r="Z93" s="17"/>
      <c r="AC93" s="19"/>
    </row>
    <row r="94" spans="2:29" x14ac:dyDescent="0.2">
      <c r="B94" s="5" t="s">
        <v>53</v>
      </c>
      <c r="C94" s="5" t="s">
        <v>15</v>
      </c>
      <c r="D94" s="5" t="s">
        <v>16</v>
      </c>
      <c r="E94" s="5" t="s">
        <v>20</v>
      </c>
      <c r="F94" s="5" t="s">
        <v>91</v>
      </c>
      <c r="G94" s="5" t="s">
        <v>17</v>
      </c>
      <c r="H94" s="6">
        <v>17.949150918183101</v>
      </c>
      <c r="I94" s="28">
        <f>AVERAGE(H94:H96)</f>
        <v>17.895994997437501</v>
      </c>
      <c r="J94" s="28">
        <f>_xlfn.STDEV.S(H94:H96)</f>
        <v>4.6809915799180597E-2</v>
      </c>
      <c r="N94" s="8">
        <v>0</v>
      </c>
      <c r="O94" s="9">
        <v>60</v>
      </c>
      <c r="P94" s="5" t="s">
        <v>16</v>
      </c>
      <c r="Q94" s="19"/>
      <c r="R94" s="17"/>
      <c r="U94" s="19"/>
      <c r="V94" s="17"/>
      <c r="Y94" s="19"/>
      <c r="Z94" s="17"/>
      <c r="AC94" s="19"/>
    </row>
    <row r="95" spans="2:29" x14ac:dyDescent="0.2">
      <c r="B95" s="5" t="s">
        <v>54</v>
      </c>
      <c r="C95" s="5" t="s">
        <v>15</v>
      </c>
      <c r="D95" s="5" t="s">
        <v>16</v>
      </c>
      <c r="E95" s="5" t="s">
        <v>20</v>
      </c>
      <c r="F95" s="5" t="s">
        <v>91</v>
      </c>
      <c r="G95" s="5" t="s">
        <v>18</v>
      </c>
      <c r="H95" s="6">
        <v>17.877902570895401</v>
      </c>
      <c r="I95" s="28"/>
      <c r="J95" s="28"/>
      <c r="N95" s="8">
        <v>0</v>
      </c>
      <c r="O95" s="9">
        <v>60</v>
      </c>
      <c r="P95" s="5" t="s">
        <v>16</v>
      </c>
      <c r="Q95" s="19"/>
      <c r="R95" s="17"/>
      <c r="U95" s="19"/>
      <c r="V95" s="17"/>
      <c r="Y95" s="19"/>
      <c r="Z95" s="17"/>
      <c r="AC95" s="19"/>
    </row>
    <row r="96" spans="2:29" x14ac:dyDescent="0.2">
      <c r="B96" s="5" t="s">
        <v>55</v>
      </c>
      <c r="C96" s="5" t="s">
        <v>15</v>
      </c>
      <c r="D96" s="5" t="s">
        <v>16</v>
      </c>
      <c r="E96" s="5" t="s">
        <v>20</v>
      </c>
      <c r="F96" s="5" t="s">
        <v>91</v>
      </c>
      <c r="G96" s="5" t="s">
        <v>19</v>
      </c>
      <c r="H96" s="6">
        <v>17.860931503233999</v>
      </c>
      <c r="I96" s="28"/>
      <c r="J96" s="28"/>
      <c r="N96" s="8">
        <v>0</v>
      </c>
      <c r="O96" s="9">
        <v>60</v>
      </c>
      <c r="P96" s="5" t="s">
        <v>16</v>
      </c>
      <c r="Q96" s="19"/>
      <c r="R96" s="17"/>
      <c r="U96" s="19"/>
      <c r="V96" s="17"/>
      <c r="Y96" s="19"/>
      <c r="Z96" s="17"/>
      <c r="AC96" s="19"/>
    </row>
    <row r="97" spans="2:29" x14ac:dyDescent="0.2">
      <c r="H97" s="28"/>
      <c r="I97" s="28"/>
      <c r="J97" s="28"/>
      <c r="Q97" s="19"/>
      <c r="R97" s="17"/>
      <c r="U97" s="19"/>
      <c r="V97" s="17"/>
      <c r="Y97" s="19"/>
      <c r="Z97" s="17"/>
      <c r="AC97" s="19"/>
    </row>
    <row r="98" spans="2:29" x14ac:dyDescent="0.2">
      <c r="B98" s="5" t="s">
        <v>56</v>
      </c>
      <c r="C98" s="5" t="s">
        <v>15</v>
      </c>
      <c r="D98" s="5" t="s">
        <v>16</v>
      </c>
      <c r="E98" s="5" t="s">
        <v>20</v>
      </c>
      <c r="F98" s="5" t="s">
        <v>92</v>
      </c>
      <c r="G98" s="5" t="s">
        <v>17</v>
      </c>
      <c r="H98" s="6">
        <v>17.88582444267</v>
      </c>
      <c r="I98" s="28">
        <f>AVERAGE(H98:H100)</f>
        <v>18.019406096691565</v>
      </c>
      <c r="J98" s="28">
        <f>_xlfn.STDEV.S(H98:H100)</f>
        <v>0.2972353792487748</v>
      </c>
      <c r="N98" s="8">
        <v>0</v>
      </c>
      <c r="O98" s="9">
        <v>60</v>
      </c>
      <c r="P98" s="5" t="s">
        <v>16</v>
      </c>
      <c r="Q98" s="19"/>
      <c r="R98" s="17"/>
      <c r="U98" s="19"/>
      <c r="V98" s="17"/>
      <c r="Y98" s="19"/>
      <c r="Z98" s="17"/>
      <c r="AC98" s="19"/>
    </row>
    <row r="99" spans="2:29" x14ac:dyDescent="0.2">
      <c r="B99" s="5" t="s">
        <v>57</v>
      </c>
      <c r="C99" s="5" t="s">
        <v>15</v>
      </c>
      <c r="D99" s="5" t="s">
        <v>16</v>
      </c>
      <c r="E99" s="5" t="s">
        <v>20</v>
      </c>
      <c r="F99" s="5" t="s">
        <v>92</v>
      </c>
      <c r="G99" s="5" t="s">
        <v>18</v>
      </c>
      <c r="H99" s="6">
        <v>17.812398043210099</v>
      </c>
      <c r="I99" s="28"/>
      <c r="J99" s="28"/>
      <c r="N99" s="8">
        <v>0</v>
      </c>
      <c r="O99" s="9">
        <v>60</v>
      </c>
      <c r="P99" s="5" t="s">
        <v>16</v>
      </c>
      <c r="Q99" s="19"/>
      <c r="R99" s="17"/>
      <c r="U99" s="19"/>
      <c r="V99" s="17"/>
      <c r="Y99" s="19"/>
      <c r="Z99" s="17"/>
      <c r="AC99" s="19"/>
    </row>
    <row r="100" spans="2:29" x14ac:dyDescent="0.2">
      <c r="B100" s="5" t="s">
        <v>58</v>
      </c>
      <c r="C100" s="5" t="s">
        <v>15</v>
      </c>
      <c r="D100" s="5" t="s">
        <v>16</v>
      </c>
      <c r="E100" s="5" t="s">
        <v>20</v>
      </c>
      <c r="F100" s="5" t="s">
        <v>92</v>
      </c>
      <c r="G100" s="5" t="s">
        <v>19</v>
      </c>
      <c r="H100" s="6">
        <v>18.3599958041946</v>
      </c>
      <c r="I100" s="28"/>
      <c r="J100" s="28"/>
      <c r="N100" s="8">
        <v>0</v>
      </c>
      <c r="O100" s="9">
        <v>60</v>
      </c>
      <c r="P100" s="5" t="s">
        <v>16</v>
      </c>
      <c r="Q100" s="19"/>
      <c r="R100" s="17"/>
      <c r="U100" s="19"/>
      <c r="V100" s="17"/>
      <c r="Y100" s="19"/>
      <c r="Z100" s="17"/>
      <c r="AC100" s="19"/>
    </row>
    <row r="101" spans="2:29" ht="19" x14ac:dyDescent="0.2">
      <c r="B101" s="11"/>
      <c r="C101" s="11"/>
      <c r="D101" s="11"/>
      <c r="E101" s="11"/>
      <c r="F101" s="11"/>
      <c r="G101" s="11"/>
      <c r="H101" s="29"/>
      <c r="I101" s="29"/>
      <c r="J101" s="29"/>
      <c r="K101" s="13"/>
      <c r="L101" s="12"/>
      <c r="M101" s="13"/>
      <c r="N101" s="13">
        <v>0</v>
      </c>
      <c r="O101" s="14">
        <v>60</v>
      </c>
      <c r="P101" s="11" t="s">
        <v>16</v>
      </c>
      <c r="Q101" s="20"/>
      <c r="R101" s="16"/>
      <c r="U101" s="20"/>
      <c r="V101" s="16"/>
      <c r="Y101" s="20"/>
      <c r="Z101" s="16"/>
      <c r="AC101" s="20"/>
    </row>
    <row r="102" spans="2:29" x14ac:dyDescent="0.2">
      <c r="B102" s="21"/>
      <c r="C102" s="21"/>
      <c r="D102" s="21"/>
      <c r="E102" s="21"/>
      <c r="F102" s="21"/>
      <c r="G102" s="21"/>
      <c r="H102" s="30"/>
      <c r="I102" s="30"/>
      <c r="J102" s="30"/>
      <c r="K102" s="21"/>
      <c r="L102" s="21"/>
      <c r="M102" s="21"/>
      <c r="N102" s="21">
        <v>0</v>
      </c>
      <c r="O102" s="21">
        <v>60</v>
      </c>
      <c r="P102" s="21" t="s">
        <v>16</v>
      </c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2:29" x14ac:dyDescent="0.2">
      <c r="B103" s="10"/>
      <c r="C103" s="10"/>
      <c r="D103" s="10"/>
      <c r="E103" s="10"/>
      <c r="F103" s="10"/>
      <c r="G103" s="10"/>
      <c r="H103" s="28"/>
      <c r="I103" s="28"/>
      <c r="J103" s="28"/>
      <c r="K103" s="10"/>
      <c r="L103" s="10"/>
      <c r="M103" s="10"/>
      <c r="N103" s="10"/>
      <c r="O103" s="10"/>
      <c r="P103" s="10"/>
      <c r="Q103" s="19"/>
      <c r="R103" s="17"/>
      <c r="U103" s="19"/>
      <c r="V103" s="17"/>
      <c r="Y103" s="19"/>
      <c r="Z103" s="17"/>
      <c r="AC103" s="19"/>
    </row>
    <row r="104" spans="2:29" x14ac:dyDescent="0.2">
      <c r="B104" s="5" t="s">
        <v>59</v>
      </c>
      <c r="C104" s="5" t="s">
        <v>15</v>
      </c>
      <c r="D104" s="5" t="s">
        <v>16</v>
      </c>
      <c r="E104" s="5" t="s">
        <v>20</v>
      </c>
      <c r="F104" s="5" t="s">
        <v>93</v>
      </c>
      <c r="G104" s="5" t="s">
        <v>17</v>
      </c>
      <c r="H104" s="6">
        <v>17.121605250016401</v>
      </c>
      <c r="I104" s="28">
        <f>AVERAGE(H104:H106)</f>
        <v>17.127629531760864</v>
      </c>
      <c r="J104" s="28">
        <f>_xlfn.STDEV.S(H104:H106)</f>
        <v>0.11105740115749833</v>
      </c>
      <c r="N104" s="8">
        <v>0</v>
      </c>
      <c r="O104" s="9">
        <v>60</v>
      </c>
      <c r="P104" s="5" t="s">
        <v>16</v>
      </c>
      <c r="Q104" s="19"/>
      <c r="R104" s="17"/>
      <c r="U104" s="19"/>
      <c r="V104" s="17"/>
      <c r="Y104" s="19"/>
      <c r="Z104" s="17"/>
      <c r="AC104" s="19"/>
    </row>
    <row r="105" spans="2:29" x14ac:dyDescent="0.2">
      <c r="B105" s="5" t="s">
        <v>60</v>
      </c>
      <c r="C105" s="5" t="s">
        <v>15</v>
      </c>
      <c r="D105" s="5" t="s">
        <v>16</v>
      </c>
      <c r="E105" s="5" t="s">
        <v>20</v>
      </c>
      <c r="F105" s="5" t="s">
        <v>93</v>
      </c>
      <c r="G105" s="5" t="s">
        <v>18</v>
      </c>
      <c r="H105" s="6">
        <v>17.019706883797699</v>
      </c>
      <c r="I105" s="28"/>
      <c r="J105" s="28"/>
      <c r="Q105" s="19"/>
      <c r="R105" s="17"/>
      <c r="U105" s="19"/>
      <c r="V105" s="17"/>
      <c r="Y105" s="19"/>
      <c r="Z105" s="17"/>
      <c r="AC105" s="19"/>
    </row>
    <row r="106" spans="2:29" x14ac:dyDescent="0.2">
      <c r="B106" s="5" t="s">
        <v>61</v>
      </c>
      <c r="C106" s="5" t="s">
        <v>15</v>
      </c>
      <c r="D106" s="5" t="s">
        <v>16</v>
      </c>
      <c r="E106" s="5" t="s">
        <v>20</v>
      </c>
      <c r="F106" s="5" t="s">
        <v>93</v>
      </c>
      <c r="G106" s="5" t="s">
        <v>19</v>
      </c>
      <c r="H106" s="6">
        <v>17.241576461468501</v>
      </c>
      <c r="I106" s="28"/>
      <c r="J106" s="28"/>
      <c r="Q106" s="19"/>
      <c r="R106" s="17"/>
      <c r="U106" s="19"/>
      <c r="V106" s="17"/>
      <c r="Y106" s="19"/>
      <c r="Z106" s="17"/>
      <c r="AC106" s="19"/>
    </row>
    <row r="107" spans="2:29" x14ac:dyDescent="0.2">
      <c r="H107" s="28"/>
      <c r="I107" s="28"/>
      <c r="J107" s="28"/>
      <c r="N107" s="8">
        <v>0</v>
      </c>
      <c r="O107" s="9">
        <v>60</v>
      </c>
      <c r="P107" s="5" t="s">
        <v>16</v>
      </c>
      <c r="Q107" s="19"/>
      <c r="R107" s="17"/>
      <c r="U107" s="19"/>
      <c r="V107" s="17"/>
      <c r="Y107" s="19"/>
      <c r="Z107" s="17"/>
      <c r="AC107" s="19"/>
    </row>
    <row r="108" spans="2:29" x14ac:dyDescent="0.2">
      <c r="B108" s="5" t="s">
        <v>62</v>
      </c>
      <c r="C108" s="5" t="s">
        <v>15</v>
      </c>
      <c r="D108" s="5" t="s">
        <v>16</v>
      </c>
      <c r="E108" s="5" t="s">
        <v>20</v>
      </c>
      <c r="F108" s="5" t="s">
        <v>94</v>
      </c>
      <c r="G108" s="5" t="s">
        <v>17</v>
      </c>
      <c r="H108" s="6">
        <v>16.241534734642698</v>
      </c>
      <c r="I108" s="28">
        <f>AVERAGE(H108:H110)</f>
        <v>16.208169873915129</v>
      </c>
      <c r="J108" s="28">
        <f>_xlfn.STDEV.S(H108:H110)</f>
        <v>3.296318428341783E-2</v>
      </c>
      <c r="N108" s="8">
        <v>0</v>
      </c>
      <c r="O108" s="9">
        <v>60</v>
      </c>
      <c r="P108" s="5" t="s">
        <v>16</v>
      </c>
      <c r="Q108" s="19"/>
      <c r="R108" s="17"/>
      <c r="U108" s="19"/>
      <c r="V108" s="17"/>
      <c r="Y108" s="19"/>
      <c r="Z108" s="17"/>
      <c r="AC108" s="19"/>
    </row>
    <row r="109" spans="2:29" x14ac:dyDescent="0.2">
      <c r="B109" s="5" t="s">
        <v>63</v>
      </c>
      <c r="C109" s="5" t="s">
        <v>15</v>
      </c>
      <c r="D109" s="5" t="s">
        <v>16</v>
      </c>
      <c r="E109" s="5" t="s">
        <v>20</v>
      </c>
      <c r="F109" s="5" t="s">
        <v>94</v>
      </c>
      <c r="G109" s="5" t="s">
        <v>18</v>
      </c>
      <c r="H109" s="6">
        <v>16.175623614581799</v>
      </c>
      <c r="I109" s="28"/>
      <c r="J109" s="28"/>
      <c r="N109" s="8">
        <v>0</v>
      </c>
      <c r="O109" s="9">
        <v>60</v>
      </c>
      <c r="P109" s="5" t="s">
        <v>16</v>
      </c>
      <c r="Q109" s="19"/>
      <c r="R109" s="17"/>
      <c r="U109" s="19"/>
      <c r="V109" s="17"/>
      <c r="Y109" s="19"/>
      <c r="Z109" s="17"/>
      <c r="AC109" s="19"/>
    </row>
    <row r="110" spans="2:29" x14ac:dyDescent="0.2">
      <c r="B110" s="5" t="s">
        <v>64</v>
      </c>
      <c r="C110" s="5" t="s">
        <v>15</v>
      </c>
      <c r="D110" s="5" t="s">
        <v>16</v>
      </c>
      <c r="E110" s="5" t="s">
        <v>20</v>
      </c>
      <c r="F110" s="5" t="s">
        <v>94</v>
      </c>
      <c r="G110" s="5" t="s">
        <v>19</v>
      </c>
      <c r="H110" s="6">
        <v>16.207351272520899</v>
      </c>
      <c r="I110" s="28"/>
      <c r="J110" s="28"/>
      <c r="N110" s="8">
        <v>0</v>
      </c>
      <c r="O110" s="9">
        <v>60</v>
      </c>
      <c r="P110" s="5" t="s">
        <v>16</v>
      </c>
      <c r="Q110" s="19"/>
      <c r="R110" s="17"/>
      <c r="U110" s="19"/>
      <c r="V110" s="17"/>
      <c r="Y110" s="19"/>
      <c r="Z110" s="17"/>
      <c r="AC110" s="19"/>
    </row>
    <row r="111" spans="2:29" x14ac:dyDescent="0.2">
      <c r="H111" s="28"/>
      <c r="I111" s="28"/>
      <c r="J111" s="28"/>
      <c r="N111" s="8">
        <v>0</v>
      </c>
      <c r="O111" s="9">
        <v>60</v>
      </c>
      <c r="P111" s="5" t="s">
        <v>16</v>
      </c>
      <c r="Q111" s="19"/>
      <c r="R111" s="17"/>
      <c r="U111" s="19"/>
      <c r="V111" s="17"/>
      <c r="Y111" s="19"/>
      <c r="Z111" s="17"/>
      <c r="AC111" s="19"/>
    </row>
    <row r="112" spans="2:29" x14ac:dyDescent="0.2">
      <c r="B112" s="5" t="s">
        <v>65</v>
      </c>
      <c r="C112" s="5" t="s">
        <v>15</v>
      </c>
      <c r="D112" s="5" t="s">
        <v>16</v>
      </c>
      <c r="E112" s="5" t="s">
        <v>20</v>
      </c>
      <c r="F112" s="5" t="s">
        <v>95</v>
      </c>
      <c r="G112" s="5" t="s">
        <v>17</v>
      </c>
      <c r="H112" s="6">
        <v>16.567968317369001</v>
      </c>
      <c r="I112" s="28">
        <f>AVERAGE(H112:H114)</f>
        <v>16.481965957379501</v>
      </c>
      <c r="J112" s="28">
        <f>_xlfn.STDEV.S(H112:H114)</f>
        <v>0.14245853261761682</v>
      </c>
      <c r="N112" s="8">
        <v>0</v>
      </c>
      <c r="O112" s="9">
        <v>60</v>
      </c>
      <c r="P112" s="5" t="s">
        <v>16</v>
      </c>
      <c r="Q112" s="19"/>
      <c r="R112" s="17"/>
      <c r="U112" s="19"/>
      <c r="V112" s="17"/>
      <c r="Y112" s="19"/>
      <c r="Z112" s="17"/>
      <c r="AC112" s="19"/>
    </row>
    <row r="113" spans="2:29" x14ac:dyDescent="0.2">
      <c r="B113" s="5" t="s">
        <v>66</v>
      </c>
      <c r="C113" s="5" t="s">
        <v>15</v>
      </c>
      <c r="D113" s="5" t="s">
        <v>16</v>
      </c>
      <c r="E113" s="5" t="s">
        <v>20</v>
      </c>
      <c r="F113" s="5" t="s">
        <v>95</v>
      </c>
      <c r="G113" s="5" t="s">
        <v>18</v>
      </c>
      <c r="H113" s="6">
        <v>16.3175270193655</v>
      </c>
      <c r="I113" s="28"/>
      <c r="J113" s="28"/>
      <c r="N113" s="8">
        <v>0</v>
      </c>
      <c r="O113" s="9">
        <v>60</v>
      </c>
      <c r="P113" s="5" t="s">
        <v>16</v>
      </c>
      <c r="Q113" s="19"/>
      <c r="R113" s="17"/>
      <c r="U113" s="19"/>
      <c r="V113" s="17"/>
      <c r="Y113" s="19"/>
      <c r="Z113" s="17"/>
      <c r="AC113" s="19"/>
    </row>
    <row r="114" spans="2:29" x14ac:dyDescent="0.2">
      <c r="B114" s="5" t="s">
        <v>67</v>
      </c>
      <c r="C114" s="5" t="s">
        <v>15</v>
      </c>
      <c r="D114" s="5" t="s">
        <v>16</v>
      </c>
      <c r="E114" s="5" t="s">
        <v>20</v>
      </c>
      <c r="F114" s="5" t="s">
        <v>95</v>
      </c>
      <c r="G114" s="5" t="s">
        <v>19</v>
      </c>
      <c r="H114" s="6">
        <v>16.560402535403998</v>
      </c>
      <c r="I114" s="28"/>
      <c r="J114" s="28"/>
      <c r="N114" s="8">
        <v>0</v>
      </c>
      <c r="O114" s="9">
        <v>60</v>
      </c>
      <c r="P114" s="5" t="s">
        <v>16</v>
      </c>
      <c r="Q114" s="19"/>
      <c r="R114" s="17"/>
      <c r="U114" s="19"/>
      <c r="V114" s="17"/>
      <c r="Y114" s="19"/>
      <c r="Z114" s="17"/>
      <c r="AC114" s="19"/>
    </row>
    <row r="115" spans="2:29" x14ac:dyDescent="0.2">
      <c r="B115" s="10"/>
      <c r="C115" s="10"/>
      <c r="D115" s="10"/>
      <c r="E115" s="10"/>
      <c r="F115" s="10"/>
      <c r="H115" s="28"/>
      <c r="I115" s="28"/>
      <c r="J115" s="28"/>
      <c r="N115" s="8">
        <v>0</v>
      </c>
      <c r="O115" s="9">
        <v>60</v>
      </c>
      <c r="P115" s="5" t="s">
        <v>16</v>
      </c>
      <c r="Q115" s="19"/>
      <c r="R115" s="17"/>
      <c r="U115" s="19"/>
      <c r="V115" s="17"/>
      <c r="Y115" s="19"/>
      <c r="Z115" s="17"/>
      <c r="AC115" s="19"/>
    </row>
    <row r="116" spans="2:29" x14ac:dyDescent="0.2">
      <c r="B116" s="5" t="s">
        <v>68</v>
      </c>
      <c r="C116" s="5" t="s">
        <v>15</v>
      </c>
      <c r="D116" s="5" t="s">
        <v>16</v>
      </c>
      <c r="E116" s="5" t="s">
        <v>20</v>
      </c>
      <c r="F116" s="5" t="s">
        <v>96</v>
      </c>
      <c r="G116" s="5" t="s">
        <v>17</v>
      </c>
      <c r="H116" s="6">
        <v>15.9873263484458</v>
      </c>
      <c r="I116" s="28">
        <f>AVERAGE(H116:H118)</f>
        <v>15.939841883210965</v>
      </c>
      <c r="J116" s="28">
        <f>_xlfn.STDEV.S(H116:H118)</f>
        <v>6.2047466781717062E-2</v>
      </c>
      <c r="N116" s="8">
        <v>0</v>
      </c>
      <c r="O116" s="9">
        <v>60</v>
      </c>
      <c r="P116" s="5" t="s">
        <v>16</v>
      </c>
      <c r="Q116" s="19"/>
      <c r="R116" s="17"/>
      <c r="U116" s="19"/>
      <c r="V116" s="17"/>
      <c r="Y116" s="19"/>
      <c r="Z116" s="17"/>
      <c r="AC116" s="19"/>
    </row>
    <row r="117" spans="2:29" x14ac:dyDescent="0.2">
      <c r="B117" s="5" t="s">
        <v>69</v>
      </c>
      <c r="C117" s="5" t="s">
        <v>15</v>
      </c>
      <c r="D117" s="5" t="s">
        <v>16</v>
      </c>
      <c r="E117" s="5" t="s">
        <v>20</v>
      </c>
      <c r="F117" s="5" t="s">
        <v>96</v>
      </c>
      <c r="G117" s="5" t="s">
        <v>18</v>
      </c>
      <c r="H117" s="6">
        <v>15.9625626176216</v>
      </c>
      <c r="I117" s="28"/>
      <c r="J117" s="28"/>
      <c r="N117" s="8">
        <v>0</v>
      </c>
      <c r="O117" s="9">
        <v>60</v>
      </c>
      <c r="P117" s="5" t="s">
        <v>16</v>
      </c>
      <c r="Q117" s="19"/>
      <c r="R117" s="17"/>
      <c r="U117" s="19"/>
      <c r="V117" s="17"/>
      <c r="Y117" s="19"/>
      <c r="Z117" s="17"/>
      <c r="AC117" s="19"/>
    </row>
    <row r="118" spans="2:29" x14ac:dyDescent="0.2">
      <c r="B118" s="5" t="s">
        <v>70</v>
      </c>
      <c r="C118" s="5" t="s">
        <v>15</v>
      </c>
      <c r="D118" s="5" t="s">
        <v>16</v>
      </c>
      <c r="E118" s="5" t="s">
        <v>20</v>
      </c>
      <c r="F118" s="5" t="s">
        <v>96</v>
      </c>
      <c r="G118" s="5" t="s">
        <v>19</v>
      </c>
      <c r="H118" s="6">
        <v>15.869636683565499</v>
      </c>
      <c r="I118" s="28"/>
      <c r="J118" s="28"/>
      <c r="N118" s="8">
        <v>0</v>
      </c>
      <c r="O118" s="9">
        <v>60</v>
      </c>
      <c r="P118" s="5" t="s">
        <v>16</v>
      </c>
      <c r="Q118" s="19"/>
      <c r="R118" s="17"/>
      <c r="U118" s="19"/>
      <c r="V118" s="17"/>
      <c r="Y118" s="19"/>
      <c r="Z118" s="17"/>
      <c r="AC118" s="19"/>
    </row>
    <row r="119" spans="2:29" x14ac:dyDescent="0.2">
      <c r="C119" s="10"/>
      <c r="D119" s="10"/>
      <c r="E119" s="10"/>
      <c r="F119" s="10"/>
      <c r="H119" s="28"/>
      <c r="I119" s="28"/>
      <c r="J119" s="28"/>
      <c r="N119" s="8">
        <v>0</v>
      </c>
      <c r="O119" s="9">
        <v>60</v>
      </c>
      <c r="P119" s="5" t="s">
        <v>16</v>
      </c>
      <c r="Q119" s="19"/>
      <c r="R119" s="17"/>
      <c r="U119" s="19"/>
      <c r="V119" s="17"/>
      <c r="Y119" s="19"/>
      <c r="Z119" s="17"/>
      <c r="AC119" s="19"/>
    </row>
    <row r="120" spans="2:29" x14ac:dyDescent="0.2">
      <c r="B120" s="5" t="s">
        <v>71</v>
      </c>
      <c r="C120" s="5" t="s">
        <v>15</v>
      </c>
      <c r="D120" s="5" t="s">
        <v>16</v>
      </c>
      <c r="E120" s="5" t="s">
        <v>20</v>
      </c>
      <c r="F120" s="5" t="s">
        <v>97</v>
      </c>
      <c r="G120" s="5" t="s">
        <v>17</v>
      </c>
      <c r="H120" s="6">
        <v>15.1185153528199</v>
      </c>
      <c r="I120" s="28">
        <f>AVERAGE(H120:H122)</f>
        <v>15.139643555650432</v>
      </c>
      <c r="J120" s="28">
        <f>_xlfn.STDEV.S(H120:H122)</f>
        <v>4.4456424851039365E-2</v>
      </c>
      <c r="N120" s="8">
        <v>0</v>
      </c>
      <c r="O120" s="9">
        <v>60</v>
      </c>
      <c r="P120" s="5" t="s">
        <v>16</v>
      </c>
      <c r="Q120" s="19"/>
      <c r="R120" s="17"/>
      <c r="U120" s="19"/>
      <c r="V120" s="17"/>
      <c r="Y120" s="19"/>
      <c r="Z120" s="17"/>
      <c r="AC120" s="19"/>
    </row>
    <row r="121" spans="2:29" x14ac:dyDescent="0.2">
      <c r="B121" s="5" t="s">
        <v>72</v>
      </c>
      <c r="C121" s="5" t="s">
        <v>15</v>
      </c>
      <c r="D121" s="5" t="s">
        <v>16</v>
      </c>
      <c r="E121" s="5" t="s">
        <v>20</v>
      </c>
      <c r="F121" s="5" t="s">
        <v>97</v>
      </c>
      <c r="G121" s="5" t="s">
        <v>18</v>
      </c>
      <c r="H121" s="6">
        <v>15.109691327093699</v>
      </c>
      <c r="I121" s="28"/>
      <c r="J121" s="28"/>
      <c r="N121" s="8">
        <v>0</v>
      </c>
      <c r="O121" s="9">
        <v>60</v>
      </c>
      <c r="P121" s="5" t="s">
        <v>16</v>
      </c>
      <c r="Q121" s="19"/>
      <c r="R121" s="17"/>
      <c r="U121" s="19"/>
      <c r="V121" s="17"/>
      <c r="Y121" s="19"/>
      <c r="Z121" s="17"/>
      <c r="AC121" s="19"/>
    </row>
    <row r="122" spans="2:29" x14ac:dyDescent="0.2">
      <c r="B122" s="5" t="s">
        <v>73</v>
      </c>
      <c r="C122" s="5" t="s">
        <v>15</v>
      </c>
      <c r="D122" s="5" t="s">
        <v>16</v>
      </c>
      <c r="E122" s="5" t="s">
        <v>20</v>
      </c>
      <c r="F122" s="5" t="s">
        <v>97</v>
      </c>
      <c r="G122" s="5" t="s">
        <v>19</v>
      </c>
      <c r="H122" s="6">
        <v>15.1907239870377</v>
      </c>
      <c r="I122" s="28"/>
      <c r="J122" s="28"/>
      <c r="N122" s="8">
        <v>0</v>
      </c>
      <c r="O122" s="9">
        <v>60</v>
      </c>
      <c r="P122" s="5" t="s">
        <v>16</v>
      </c>
      <c r="Q122" s="19"/>
      <c r="R122" s="17"/>
      <c r="U122" s="19"/>
      <c r="V122" s="17"/>
      <c r="Y122" s="19"/>
      <c r="Z122" s="17"/>
      <c r="AC122" s="19"/>
    </row>
    <row r="123" spans="2:29" x14ac:dyDescent="0.2">
      <c r="H123" s="28"/>
      <c r="I123" s="28"/>
      <c r="J123" s="28"/>
      <c r="Q123" s="19"/>
      <c r="R123" s="17"/>
      <c r="U123" s="19"/>
      <c r="V123" s="17"/>
      <c r="Y123" s="19"/>
      <c r="Z123" s="17"/>
      <c r="AC123" s="19"/>
    </row>
    <row r="124" spans="2:29" x14ac:dyDescent="0.2">
      <c r="B124" s="5" t="s">
        <v>74</v>
      </c>
      <c r="C124" s="5" t="s">
        <v>15</v>
      </c>
      <c r="D124" s="5" t="s">
        <v>16</v>
      </c>
      <c r="E124" s="5" t="s">
        <v>20</v>
      </c>
      <c r="F124" s="5" t="s">
        <v>98</v>
      </c>
      <c r="G124" s="5" t="s">
        <v>17</v>
      </c>
      <c r="H124" s="6">
        <v>16.7743952542918</v>
      </c>
      <c r="I124" s="28">
        <f>AVERAGE(H124:H126)</f>
        <v>16.7576399998228</v>
      </c>
      <c r="J124" s="28">
        <f>_xlfn.STDEV.S(H124:H126)</f>
        <v>7.2052663355782365E-2</v>
      </c>
      <c r="N124" s="8">
        <v>0</v>
      </c>
      <c r="O124" s="9">
        <v>60</v>
      </c>
      <c r="P124" s="5" t="s">
        <v>16</v>
      </c>
      <c r="Q124" s="19"/>
      <c r="R124" s="17"/>
      <c r="U124" s="19"/>
      <c r="V124" s="17"/>
      <c r="Y124" s="19"/>
      <c r="Z124" s="17"/>
      <c r="AC124" s="19"/>
    </row>
    <row r="125" spans="2:29" x14ac:dyDescent="0.2">
      <c r="B125" s="5" t="s">
        <v>75</v>
      </c>
      <c r="C125" s="5" t="s">
        <v>15</v>
      </c>
      <c r="D125" s="5" t="s">
        <v>16</v>
      </c>
      <c r="E125" s="5" t="s">
        <v>20</v>
      </c>
      <c r="F125" s="5" t="s">
        <v>98</v>
      </c>
      <c r="G125" s="5" t="s">
        <v>18</v>
      </c>
      <c r="H125" s="6">
        <v>16.678685943219701</v>
      </c>
      <c r="I125" s="28"/>
      <c r="J125" s="28"/>
      <c r="N125" s="8">
        <v>0</v>
      </c>
      <c r="O125" s="9">
        <v>60</v>
      </c>
      <c r="P125" s="5" t="s">
        <v>16</v>
      </c>
      <c r="Q125" s="19"/>
      <c r="R125" s="17"/>
      <c r="U125" s="19"/>
      <c r="V125" s="17"/>
      <c r="Y125" s="19"/>
      <c r="Z125" s="17"/>
      <c r="AC125" s="19"/>
    </row>
    <row r="126" spans="2:29" x14ac:dyDescent="0.2">
      <c r="B126" s="5" t="s">
        <v>76</v>
      </c>
      <c r="C126" s="5" t="s">
        <v>15</v>
      </c>
      <c r="D126" s="5" t="s">
        <v>16</v>
      </c>
      <c r="E126" s="5" t="s">
        <v>20</v>
      </c>
      <c r="F126" s="5" t="s">
        <v>98</v>
      </c>
      <c r="G126" s="5" t="s">
        <v>19</v>
      </c>
      <c r="H126" s="6">
        <v>16.819838801956902</v>
      </c>
      <c r="I126" s="28"/>
      <c r="J126" s="28"/>
      <c r="N126" s="8">
        <v>0</v>
      </c>
      <c r="O126" s="9">
        <v>60</v>
      </c>
      <c r="P126" s="5" t="s">
        <v>16</v>
      </c>
      <c r="Q126" s="19"/>
      <c r="R126" s="17"/>
      <c r="U126" s="19"/>
      <c r="V126" s="17"/>
      <c r="Y126" s="19"/>
      <c r="Z126" s="17"/>
      <c r="AC126" s="19"/>
    </row>
    <row r="127" spans="2:29" x14ac:dyDescent="0.2">
      <c r="H127" s="28"/>
      <c r="I127" s="28"/>
      <c r="J127" s="28"/>
      <c r="Q127" s="19"/>
      <c r="R127" s="17"/>
      <c r="U127" s="19"/>
      <c r="V127" s="17"/>
      <c r="Y127" s="19"/>
      <c r="Z127" s="17"/>
      <c r="AC127" s="19"/>
    </row>
    <row r="128" spans="2:29" x14ac:dyDescent="0.2">
      <c r="B128" s="5" t="s">
        <v>313</v>
      </c>
      <c r="C128" s="5" t="s">
        <v>15</v>
      </c>
      <c r="D128" s="5" t="s">
        <v>16</v>
      </c>
      <c r="E128" s="5" t="s">
        <v>20</v>
      </c>
      <c r="F128" s="5" t="s">
        <v>99</v>
      </c>
      <c r="G128" s="5" t="s">
        <v>17</v>
      </c>
      <c r="H128" s="6">
        <v>16.291667853365901</v>
      </c>
      <c r="I128" s="28">
        <f>AVERAGE(H128:H130)</f>
        <v>16.360036480983265</v>
      </c>
      <c r="J128" s="28">
        <f>_xlfn.STDEV.S(H128:H130)</f>
        <v>7.112341388738333E-2</v>
      </c>
      <c r="N128" s="8">
        <v>0</v>
      </c>
      <c r="O128" s="9">
        <v>60</v>
      </c>
      <c r="P128" s="5" t="s">
        <v>16</v>
      </c>
      <c r="Q128" s="19"/>
      <c r="R128" s="17"/>
      <c r="U128" s="19"/>
      <c r="V128" s="17"/>
      <c r="Y128" s="19"/>
      <c r="Z128" s="17"/>
      <c r="AC128" s="19"/>
    </row>
    <row r="129" spans="2:29" x14ac:dyDescent="0.2">
      <c r="B129" s="5" t="s">
        <v>314</v>
      </c>
      <c r="C129" s="5" t="s">
        <v>15</v>
      </c>
      <c r="D129" s="5" t="s">
        <v>16</v>
      </c>
      <c r="E129" s="5" t="s">
        <v>20</v>
      </c>
      <c r="F129" s="5" t="s">
        <v>99</v>
      </c>
      <c r="G129" s="5" t="s">
        <v>18</v>
      </c>
      <c r="H129" s="6">
        <v>16.354814728364499</v>
      </c>
      <c r="I129" s="28"/>
      <c r="J129" s="28"/>
      <c r="N129" s="8">
        <v>0</v>
      </c>
      <c r="O129" s="9">
        <v>60</v>
      </c>
      <c r="P129" s="5" t="s">
        <v>16</v>
      </c>
      <c r="Q129" s="19"/>
      <c r="R129" s="17"/>
      <c r="U129" s="19"/>
      <c r="V129" s="17"/>
      <c r="Y129" s="19"/>
      <c r="Z129" s="17"/>
      <c r="AC129" s="19"/>
    </row>
    <row r="130" spans="2:29" x14ac:dyDescent="0.2">
      <c r="B130" s="5" t="s">
        <v>315</v>
      </c>
      <c r="C130" s="5" t="s">
        <v>15</v>
      </c>
      <c r="D130" s="5" t="s">
        <v>16</v>
      </c>
      <c r="E130" s="5" t="s">
        <v>20</v>
      </c>
      <c r="F130" s="5" t="s">
        <v>99</v>
      </c>
      <c r="G130" s="5" t="s">
        <v>19</v>
      </c>
      <c r="H130" s="6">
        <v>16.433626861219398</v>
      </c>
      <c r="I130" s="28"/>
      <c r="J130" s="28"/>
      <c r="N130" s="8">
        <v>0</v>
      </c>
      <c r="O130" s="9">
        <v>60</v>
      </c>
      <c r="P130" s="5" t="s">
        <v>16</v>
      </c>
      <c r="Q130" s="19"/>
      <c r="R130" s="17"/>
      <c r="U130" s="19"/>
      <c r="V130" s="17"/>
      <c r="Y130" s="19"/>
      <c r="Z130" s="17"/>
      <c r="AC130" s="19"/>
    </row>
    <row r="131" spans="2:29" x14ac:dyDescent="0.2">
      <c r="H131" s="28"/>
      <c r="I131" s="28"/>
      <c r="J131" s="28"/>
      <c r="Q131" s="19"/>
      <c r="R131" s="17"/>
      <c r="U131" s="19"/>
      <c r="V131" s="17"/>
      <c r="Y131" s="19"/>
      <c r="Z131" s="17"/>
      <c r="AC131" s="19"/>
    </row>
    <row r="132" spans="2:29" x14ac:dyDescent="0.2">
      <c r="B132" s="5" t="s">
        <v>316</v>
      </c>
      <c r="C132" s="5" t="s">
        <v>15</v>
      </c>
      <c r="D132" s="5" t="s">
        <v>16</v>
      </c>
      <c r="E132" s="5" t="s">
        <v>20</v>
      </c>
      <c r="F132" s="5" t="s">
        <v>100</v>
      </c>
      <c r="G132" s="5" t="s">
        <v>17</v>
      </c>
      <c r="H132" s="6">
        <v>16.29</v>
      </c>
      <c r="I132" s="28">
        <f>AVERAGE(H132:H134)</f>
        <v>16.363333333333333</v>
      </c>
      <c r="J132" s="28">
        <f>_xlfn.STDEV.S(H132:H134)</f>
        <v>8.0829037686547492E-2</v>
      </c>
      <c r="N132" s="8">
        <v>0</v>
      </c>
      <c r="O132" s="9">
        <v>60</v>
      </c>
      <c r="P132" s="5" t="s">
        <v>16</v>
      </c>
      <c r="Q132" s="19"/>
      <c r="R132" s="17"/>
      <c r="U132" s="19"/>
      <c r="V132" s="17"/>
      <c r="Y132" s="19"/>
      <c r="Z132" s="17"/>
      <c r="AC132" s="19"/>
    </row>
    <row r="133" spans="2:29" x14ac:dyDescent="0.2">
      <c r="B133" s="5" t="s">
        <v>317</v>
      </c>
      <c r="C133" s="5" t="s">
        <v>15</v>
      </c>
      <c r="D133" s="5" t="s">
        <v>16</v>
      </c>
      <c r="E133" s="5" t="s">
        <v>20</v>
      </c>
      <c r="F133" s="5" t="s">
        <v>100</v>
      </c>
      <c r="G133" s="5" t="s">
        <v>18</v>
      </c>
      <c r="H133" s="6">
        <v>16.350000000000001</v>
      </c>
      <c r="I133" s="28"/>
      <c r="J133" s="28"/>
      <c r="N133" s="8">
        <v>0</v>
      </c>
      <c r="O133" s="9">
        <v>60</v>
      </c>
      <c r="P133" s="5" t="s">
        <v>16</v>
      </c>
      <c r="Q133" s="19"/>
      <c r="R133" s="17"/>
      <c r="U133" s="19"/>
      <c r="V133" s="17"/>
      <c r="Y133" s="19"/>
      <c r="Z133" s="17"/>
      <c r="AC133" s="19"/>
    </row>
    <row r="134" spans="2:29" x14ac:dyDescent="0.2">
      <c r="B134" s="5" t="s">
        <v>318</v>
      </c>
      <c r="C134" s="5" t="s">
        <v>15</v>
      </c>
      <c r="D134" s="5" t="s">
        <v>16</v>
      </c>
      <c r="E134" s="5" t="s">
        <v>20</v>
      </c>
      <c r="F134" s="5" t="s">
        <v>100</v>
      </c>
      <c r="G134" s="5" t="s">
        <v>19</v>
      </c>
      <c r="H134" s="6">
        <v>16.45</v>
      </c>
      <c r="I134" s="28"/>
      <c r="J134" s="28"/>
      <c r="N134" s="8">
        <v>0</v>
      </c>
      <c r="O134" s="9">
        <v>60</v>
      </c>
      <c r="P134" s="5" t="s">
        <v>16</v>
      </c>
      <c r="Q134" s="19"/>
      <c r="R134" s="17"/>
      <c r="U134" s="19"/>
      <c r="V134" s="17"/>
      <c r="Y134" s="19"/>
      <c r="Z134" s="17"/>
      <c r="AC134" s="19"/>
    </row>
    <row r="135" spans="2:29" x14ac:dyDescent="0.2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</sheetData>
  <conditionalFormatting sqref="R2:R30">
    <cfRule type="cellIs" dxfId="8" priority="8" operator="greaterThanOrEqual">
      <formula>1</formula>
    </cfRule>
    <cfRule type="cellIs" dxfId="7" priority="6" operator="between">
      <formula>0.0001</formula>
      <formula>0.9</formula>
    </cfRule>
    <cfRule type="cellIs" dxfId="6" priority="3" operator="between">
      <formula>0.9</formula>
      <formula>1</formula>
    </cfRule>
  </conditionalFormatting>
  <conditionalFormatting sqref="V2:V30">
    <cfRule type="cellIs" dxfId="5" priority="4" operator="between">
      <formula>0.0001</formula>
      <formula>0.9</formula>
    </cfRule>
    <cfRule type="cellIs" dxfId="4" priority="9" operator="greaterThanOrEqual">
      <formula>1</formula>
    </cfRule>
    <cfRule type="cellIs" dxfId="3" priority="1" operator="between">
      <formula>0.9</formula>
      <formula>1</formula>
    </cfRule>
  </conditionalFormatting>
  <conditionalFormatting sqref="Z2:Z30">
    <cfRule type="cellIs" dxfId="2" priority="2" operator="between">
      <formula>0.9</formula>
      <formula>1</formula>
    </cfRule>
    <cfRule type="cellIs" dxfId="1" priority="7" operator="greaterThanOrEqual">
      <formula>1</formula>
    </cfRule>
    <cfRule type="cellIs" dxfId="0" priority="5" operator="between">
      <formula>0.0001</formula>
      <formula>0.9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NS</vt:lpstr>
      <vt:lpstr>ME</vt:lpstr>
      <vt:lpstr>NH</vt:lpstr>
      <vt:lpstr>MA</vt:lpstr>
      <vt:lpstr>NC</vt:lpstr>
      <vt:lpstr>New 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Sydney Birch</cp:lastModifiedBy>
  <dcterms:created xsi:type="dcterms:W3CDTF">2023-07-13T15:44:53Z</dcterms:created>
  <dcterms:modified xsi:type="dcterms:W3CDTF">2023-11-09T16:45:08Z</dcterms:modified>
</cp:coreProperties>
</file>