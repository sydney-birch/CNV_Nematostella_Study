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uncc.edu/My Drive/Postdoc_work/Immunity_gene_Project/qPCR/Immunity_Runs_Plate_setups/"/>
    </mc:Choice>
  </mc:AlternateContent>
  <xr:revisionPtr revIDLastSave="0" documentId="13_ncr:1_{51C5329A-3D87-DC4B-8A26-074D02014125}" xr6:coauthVersionLast="47" xr6:coauthVersionMax="47" xr10:uidLastSave="{00000000-0000-0000-0000-000000000000}"/>
  <bookViews>
    <workbookView xWindow="0" yWindow="500" windowWidth="28800" windowHeight="15980" activeTab="5" xr2:uid="{00000000-000D-0000-FFFF-FFFF00000000}"/>
  </bookViews>
  <sheets>
    <sheet name="NS" sheetId="4" r:id="rId1"/>
    <sheet name="ME" sheetId="2" r:id="rId2"/>
    <sheet name="NH" sheetId="3" r:id="rId3"/>
    <sheet name="MA" sheetId="6" r:id="rId4"/>
    <sheet name="NC" sheetId="5" r:id="rId5"/>
    <sheet name="New FL" sheetId="1" r:id="rId6"/>
  </sheets>
  <definedNames>
    <definedName name="_xlnm.Print_Area" localSheetId="1">ME!$A$1:$M$63</definedName>
    <definedName name="_xlnm.Print_Area" localSheetId="0">NS!$A$1:$M$63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4" l="1"/>
  <c r="J25" i="4"/>
  <c r="C22" i="4"/>
  <c r="H35" i="4"/>
  <c r="G18" i="4"/>
  <c r="G44" i="4" s="1"/>
  <c r="F18" i="4"/>
  <c r="F59" i="4" s="1"/>
  <c r="G17" i="4"/>
  <c r="F17" i="4"/>
  <c r="E17" i="4"/>
  <c r="E18" i="4" s="1"/>
  <c r="D17" i="4"/>
  <c r="D18" i="4" s="1"/>
  <c r="H16" i="4"/>
  <c r="C16" i="4"/>
  <c r="H35" i="2"/>
  <c r="G18" i="2"/>
  <c r="G26" i="2" s="1"/>
  <c r="F18" i="2"/>
  <c r="F59" i="2" s="1"/>
  <c r="G17" i="2"/>
  <c r="F17" i="2"/>
  <c r="E17" i="2"/>
  <c r="E18" i="2" s="1"/>
  <c r="D17" i="2"/>
  <c r="D18" i="2" s="1"/>
  <c r="H16" i="2"/>
  <c r="C16" i="2"/>
  <c r="H35" i="3"/>
  <c r="G18" i="3"/>
  <c r="G35" i="3" s="1"/>
  <c r="G17" i="3"/>
  <c r="F17" i="3"/>
  <c r="F18" i="3" s="1"/>
  <c r="E17" i="3"/>
  <c r="E18" i="3" s="1"/>
  <c r="D17" i="3"/>
  <c r="D18" i="3" s="1"/>
  <c r="C17" i="3"/>
  <c r="H16" i="3"/>
  <c r="C16" i="3"/>
  <c r="C18" i="3" s="1"/>
  <c r="G62" i="5"/>
  <c r="E61" i="5"/>
  <c r="E57" i="5"/>
  <c r="E48" i="5"/>
  <c r="E44" i="5"/>
  <c r="E39" i="5"/>
  <c r="D38" i="5"/>
  <c r="H35" i="5"/>
  <c r="E35" i="5"/>
  <c r="D34" i="5"/>
  <c r="G18" i="5"/>
  <c r="G60" i="5" s="1"/>
  <c r="D18" i="5"/>
  <c r="E59" i="5" s="1"/>
  <c r="G17" i="5"/>
  <c r="F17" i="5"/>
  <c r="F18" i="5" s="1"/>
  <c r="E17" i="5"/>
  <c r="E18" i="5" s="1"/>
  <c r="D17" i="5"/>
  <c r="H16" i="5"/>
  <c r="C16" i="5"/>
  <c r="H35" i="6"/>
  <c r="G17" i="6"/>
  <c r="G18" i="6" s="1"/>
  <c r="F17" i="6"/>
  <c r="F18" i="6" s="1"/>
  <c r="E17" i="6"/>
  <c r="E18" i="6" s="1"/>
  <c r="D17" i="6"/>
  <c r="D18" i="6" s="1"/>
  <c r="H16" i="6"/>
  <c r="C16" i="6" s="1"/>
  <c r="E29" i="4" l="1"/>
  <c r="D25" i="4"/>
  <c r="D26" i="4"/>
  <c r="E24" i="4"/>
  <c r="E26" i="4"/>
  <c r="D24" i="4"/>
  <c r="E25" i="4"/>
  <c r="E22" i="4"/>
  <c r="E23" i="4"/>
  <c r="D29" i="4"/>
  <c r="D62" i="4"/>
  <c r="D58" i="4"/>
  <c r="D49" i="4"/>
  <c r="D45" i="4"/>
  <c r="D40" i="4"/>
  <c r="D36" i="4"/>
  <c r="D27" i="4"/>
  <c r="D23" i="4"/>
  <c r="E60" i="4"/>
  <c r="E51" i="4"/>
  <c r="E38" i="4"/>
  <c r="D60" i="4"/>
  <c r="D51" i="4"/>
  <c r="E57" i="4"/>
  <c r="E44" i="4"/>
  <c r="D48" i="4"/>
  <c r="E59" i="4"/>
  <c r="E55" i="4"/>
  <c r="E50" i="4"/>
  <c r="E46" i="4"/>
  <c r="E37" i="4"/>
  <c r="E33" i="4"/>
  <c r="E28" i="4"/>
  <c r="E47" i="4"/>
  <c r="D38" i="4"/>
  <c r="E39" i="4"/>
  <c r="D61" i="4"/>
  <c r="D57" i="4"/>
  <c r="D44" i="4"/>
  <c r="D35" i="4"/>
  <c r="D59" i="4"/>
  <c r="D55" i="4"/>
  <c r="D50" i="4"/>
  <c r="D46" i="4"/>
  <c r="D37" i="4"/>
  <c r="D33" i="4"/>
  <c r="D28" i="4"/>
  <c r="E56" i="4"/>
  <c r="E34" i="4"/>
  <c r="D56" i="4"/>
  <c r="D47" i="4"/>
  <c r="E61" i="4"/>
  <c r="E62" i="4"/>
  <c r="E58" i="4"/>
  <c r="E49" i="4"/>
  <c r="E45" i="4"/>
  <c r="E40" i="4"/>
  <c r="E36" i="4"/>
  <c r="E27" i="4"/>
  <c r="D22" i="4"/>
  <c r="D34" i="4"/>
  <c r="E48" i="4"/>
  <c r="E35" i="4"/>
  <c r="D39" i="4"/>
  <c r="F45" i="4"/>
  <c r="F49" i="4"/>
  <c r="F22" i="4"/>
  <c r="G23" i="4"/>
  <c r="G27" i="4"/>
  <c r="G36" i="4"/>
  <c r="G40" i="4"/>
  <c r="G58" i="4"/>
  <c r="G22" i="4"/>
  <c r="F26" i="4"/>
  <c r="F39" i="4"/>
  <c r="C17" i="4"/>
  <c r="C18" i="4" s="1"/>
  <c r="G24" i="4"/>
  <c r="G28" i="4"/>
  <c r="G33" i="4"/>
  <c r="G37" i="4"/>
  <c r="G46" i="4"/>
  <c r="G50" i="4"/>
  <c r="G55" i="4"/>
  <c r="G59" i="4"/>
  <c r="F58" i="4"/>
  <c r="G45" i="4"/>
  <c r="F44" i="4"/>
  <c r="F48" i="4"/>
  <c r="G39" i="4"/>
  <c r="G48" i="4"/>
  <c r="G57" i="4"/>
  <c r="G61" i="4"/>
  <c r="F25" i="4"/>
  <c r="F29" i="4"/>
  <c r="F34" i="4"/>
  <c r="F38" i="4"/>
  <c r="F47" i="4"/>
  <c r="F51" i="4"/>
  <c r="F56" i="4"/>
  <c r="F60" i="4"/>
  <c r="F23" i="4"/>
  <c r="F27" i="4"/>
  <c r="G62" i="4"/>
  <c r="F61" i="4"/>
  <c r="G26" i="4"/>
  <c r="I16" i="4"/>
  <c r="G25" i="4"/>
  <c r="G29" i="4"/>
  <c r="G34" i="4"/>
  <c r="G38" i="4"/>
  <c r="G47" i="4"/>
  <c r="G51" i="4"/>
  <c r="G56" i="4"/>
  <c r="G60" i="4"/>
  <c r="F36" i="4"/>
  <c r="F40" i="4"/>
  <c r="F62" i="4"/>
  <c r="G49" i="4"/>
  <c r="F35" i="4"/>
  <c r="F57" i="4"/>
  <c r="G35" i="4"/>
  <c r="F24" i="4"/>
  <c r="F28" i="4"/>
  <c r="F33" i="4"/>
  <c r="F41" i="4" s="1"/>
  <c r="F37" i="4"/>
  <c r="F46" i="4"/>
  <c r="F50" i="4"/>
  <c r="F55" i="4"/>
  <c r="D62" i="2"/>
  <c r="D58" i="2"/>
  <c r="D49" i="2"/>
  <c r="D45" i="2"/>
  <c r="D40" i="2"/>
  <c r="D36" i="2"/>
  <c r="D27" i="2"/>
  <c r="D23" i="2"/>
  <c r="D60" i="2"/>
  <c r="D38" i="2"/>
  <c r="E44" i="2"/>
  <c r="D48" i="2"/>
  <c r="D35" i="2"/>
  <c r="E59" i="2"/>
  <c r="E55" i="2"/>
  <c r="E50" i="2"/>
  <c r="E46" i="2"/>
  <c r="E37" i="2"/>
  <c r="E33" i="2"/>
  <c r="E28" i="2"/>
  <c r="E60" i="2"/>
  <c r="E38" i="2"/>
  <c r="E34" i="2"/>
  <c r="D34" i="2"/>
  <c r="D59" i="2"/>
  <c r="D55" i="2"/>
  <c r="D50" i="2"/>
  <c r="D46" i="2"/>
  <c r="D37" i="2"/>
  <c r="D33" i="2"/>
  <c r="D28" i="2"/>
  <c r="E56" i="2"/>
  <c r="E51" i="2"/>
  <c r="E47" i="2"/>
  <c r="D56" i="2"/>
  <c r="D51" i="2"/>
  <c r="E39" i="2"/>
  <c r="E35" i="2"/>
  <c r="D61" i="2"/>
  <c r="D57" i="2"/>
  <c r="E62" i="2"/>
  <c r="E58" i="2"/>
  <c r="E49" i="2"/>
  <c r="E45" i="2"/>
  <c r="E40" i="2"/>
  <c r="E36" i="2"/>
  <c r="E27" i="2"/>
  <c r="D22" i="2"/>
  <c r="D30" i="2" s="1"/>
  <c r="D47" i="2"/>
  <c r="E61" i="2"/>
  <c r="E57" i="2"/>
  <c r="E48" i="2"/>
  <c r="D44" i="2"/>
  <c r="D39" i="2"/>
  <c r="E25" i="2"/>
  <c r="E24" i="2"/>
  <c r="E22" i="2"/>
  <c r="D24" i="2"/>
  <c r="E29" i="2"/>
  <c r="D29" i="2"/>
  <c r="D25" i="2"/>
  <c r="D26" i="2"/>
  <c r="E23" i="2"/>
  <c r="E26" i="2"/>
  <c r="F49" i="2"/>
  <c r="F58" i="2"/>
  <c r="F22" i="2"/>
  <c r="G40" i="2"/>
  <c r="G22" i="2"/>
  <c r="F61" i="2"/>
  <c r="C17" i="2"/>
  <c r="C18" i="2" s="1"/>
  <c r="G24" i="2"/>
  <c r="G28" i="2"/>
  <c r="G33" i="2"/>
  <c r="G37" i="2"/>
  <c r="G46" i="2"/>
  <c r="G50" i="2"/>
  <c r="G55" i="2"/>
  <c r="G59" i="2"/>
  <c r="F36" i="2"/>
  <c r="G23" i="2"/>
  <c r="G49" i="2"/>
  <c r="G62" i="2"/>
  <c r="F35" i="2"/>
  <c r="F48" i="2"/>
  <c r="F57" i="2"/>
  <c r="G35" i="2"/>
  <c r="G39" i="2"/>
  <c r="G44" i="2"/>
  <c r="G48" i="2"/>
  <c r="G57" i="2"/>
  <c r="G61" i="2"/>
  <c r="F25" i="2"/>
  <c r="F29" i="2"/>
  <c r="F34" i="2"/>
  <c r="F38" i="2"/>
  <c r="F47" i="2"/>
  <c r="F51" i="2"/>
  <c r="F56" i="2"/>
  <c r="F60" i="2"/>
  <c r="F27" i="2"/>
  <c r="F45" i="2"/>
  <c r="G27" i="2"/>
  <c r="G36" i="2"/>
  <c r="G45" i="2"/>
  <c r="G58" i="2"/>
  <c r="F26" i="2"/>
  <c r="F39" i="2"/>
  <c r="I16" i="2"/>
  <c r="G25" i="2"/>
  <c r="G29" i="2"/>
  <c r="G34" i="2"/>
  <c r="G38" i="2"/>
  <c r="G47" i="2"/>
  <c r="G51" i="2"/>
  <c r="G56" i="2"/>
  <c r="G60" i="2"/>
  <c r="F23" i="2"/>
  <c r="F40" i="2"/>
  <c r="F62" i="2"/>
  <c r="F44" i="2"/>
  <c r="F24" i="2"/>
  <c r="F28" i="2"/>
  <c r="F33" i="2"/>
  <c r="F37" i="2"/>
  <c r="F46" i="2"/>
  <c r="F50" i="2"/>
  <c r="F55" i="2"/>
  <c r="D29" i="3"/>
  <c r="D25" i="3"/>
  <c r="E24" i="3"/>
  <c r="D24" i="3"/>
  <c r="E29" i="3"/>
  <c r="E25" i="3"/>
  <c r="D26" i="3"/>
  <c r="E22" i="3"/>
  <c r="E23" i="3"/>
  <c r="E26" i="3"/>
  <c r="C22" i="3"/>
  <c r="C29" i="3"/>
  <c r="C25" i="3"/>
  <c r="C62" i="3"/>
  <c r="C58" i="3"/>
  <c r="C49" i="3"/>
  <c r="C45" i="3"/>
  <c r="C40" i="3"/>
  <c r="C36" i="3"/>
  <c r="C27" i="3"/>
  <c r="C23" i="3"/>
  <c r="H23" i="3" s="1"/>
  <c r="C37" i="3"/>
  <c r="C24" i="3"/>
  <c r="C51" i="3"/>
  <c r="C47" i="3"/>
  <c r="C38" i="3"/>
  <c r="C59" i="3"/>
  <c r="C55" i="3"/>
  <c r="C50" i="3"/>
  <c r="C46" i="3"/>
  <c r="C33" i="3"/>
  <c r="C28" i="3"/>
  <c r="C60" i="3"/>
  <c r="C61" i="3"/>
  <c r="C57" i="3"/>
  <c r="C48" i="3"/>
  <c r="C44" i="3"/>
  <c r="C39" i="3"/>
  <c r="C35" i="3"/>
  <c r="C26" i="3"/>
  <c r="C56" i="3"/>
  <c r="C34" i="3"/>
  <c r="D62" i="3"/>
  <c r="D58" i="3"/>
  <c r="D49" i="3"/>
  <c r="D45" i="3"/>
  <c r="D40" i="3"/>
  <c r="D36" i="3"/>
  <c r="D27" i="3"/>
  <c r="D23" i="3"/>
  <c r="E60" i="3"/>
  <c r="D38" i="3"/>
  <c r="E61" i="3"/>
  <c r="E39" i="3"/>
  <c r="E59" i="3"/>
  <c r="E55" i="3"/>
  <c r="E50" i="3"/>
  <c r="E46" i="3"/>
  <c r="E37" i="3"/>
  <c r="E33" i="3"/>
  <c r="E28" i="3"/>
  <c r="D60" i="3"/>
  <c r="D56" i="3"/>
  <c r="D34" i="3"/>
  <c r="E57" i="3"/>
  <c r="E35" i="3"/>
  <c r="D59" i="3"/>
  <c r="D55" i="3"/>
  <c r="D50" i="3"/>
  <c r="D46" i="3"/>
  <c r="D37" i="3"/>
  <c r="D33" i="3"/>
  <c r="D28" i="3"/>
  <c r="E56" i="3"/>
  <c r="E51" i="3"/>
  <c r="E47" i="3"/>
  <c r="E38" i="3"/>
  <c r="E34" i="3"/>
  <c r="D51" i="3"/>
  <c r="D47" i="3"/>
  <c r="E44" i="3"/>
  <c r="D61" i="3"/>
  <c r="D57" i="3"/>
  <c r="D48" i="3"/>
  <c r="D44" i="3"/>
  <c r="D39" i="3"/>
  <c r="D35" i="3"/>
  <c r="E62" i="3"/>
  <c r="E58" i="3"/>
  <c r="E49" i="3"/>
  <c r="E45" i="3"/>
  <c r="E40" i="3"/>
  <c r="E36" i="3"/>
  <c r="E27" i="3"/>
  <c r="D22" i="3"/>
  <c r="E48" i="3"/>
  <c r="F59" i="3"/>
  <c r="F55" i="3"/>
  <c r="F50" i="3"/>
  <c r="F46" i="3"/>
  <c r="F37" i="3"/>
  <c r="F33" i="3"/>
  <c r="F28" i="3"/>
  <c r="F24" i="3"/>
  <c r="F57" i="3"/>
  <c r="F48" i="3"/>
  <c r="F35" i="3"/>
  <c r="F26" i="3"/>
  <c r="F22" i="3"/>
  <c r="F60" i="3"/>
  <c r="F56" i="3"/>
  <c r="F51" i="3"/>
  <c r="F47" i="3"/>
  <c r="F38" i="3"/>
  <c r="F34" i="3"/>
  <c r="F29" i="3"/>
  <c r="F25" i="3"/>
  <c r="F61" i="3"/>
  <c r="F44" i="3"/>
  <c r="F39" i="3"/>
  <c r="F62" i="3"/>
  <c r="F58" i="3"/>
  <c r="F49" i="3"/>
  <c r="F45" i="3"/>
  <c r="F40" i="3"/>
  <c r="F36" i="3"/>
  <c r="F27" i="3"/>
  <c r="F23" i="3"/>
  <c r="G40" i="3"/>
  <c r="G58" i="3"/>
  <c r="G24" i="3"/>
  <c r="G28" i="3"/>
  <c r="G33" i="3"/>
  <c r="G37" i="3"/>
  <c r="G46" i="3"/>
  <c r="G50" i="3"/>
  <c r="G55" i="3"/>
  <c r="G59" i="3"/>
  <c r="G23" i="3"/>
  <c r="G36" i="3"/>
  <c r="G26" i="3"/>
  <c r="G39" i="3"/>
  <c r="G44" i="3"/>
  <c r="G48" i="3"/>
  <c r="G57" i="3"/>
  <c r="G61" i="3"/>
  <c r="G27" i="3"/>
  <c r="G45" i="3"/>
  <c r="G49" i="3"/>
  <c r="G62" i="3"/>
  <c r="G22" i="3"/>
  <c r="I16" i="3"/>
  <c r="G25" i="3"/>
  <c r="G29" i="3"/>
  <c r="G34" i="3"/>
  <c r="G38" i="3"/>
  <c r="G47" i="3"/>
  <c r="G51" i="3"/>
  <c r="G56" i="3"/>
  <c r="G60" i="3"/>
  <c r="F61" i="5"/>
  <c r="F57" i="5"/>
  <c r="F48" i="5"/>
  <c r="F44" i="5"/>
  <c r="F60" i="5"/>
  <c r="F56" i="5"/>
  <c r="F51" i="5"/>
  <c r="F47" i="5"/>
  <c r="F38" i="5"/>
  <c r="F34" i="5"/>
  <c r="F29" i="5"/>
  <c r="F25" i="5"/>
  <c r="F35" i="5"/>
  <c r="F26" i="5"/>
  <c r="F22" i="5"/>
  <c r="F62" i="5"/>
  <c r="F58" i="5"/>
  <c r="F49" i="5"/>
  <c r="F45" i="5"/>
  <c r="F40" i="5"/>
  <c r="F36" i="5"/>
  <c r="F27" i="5"/>
  <c r="F23" i="5"/>
  <c r="F39" i="5"/>
  <c r="F59" i="5"/>
  <c r="F55" i="5"/>
  <c r="F50" i="5"/>
  <c r="F46" i="5"/>
  <c r="F37" i="5"/>
  <c r="F33" i="5"/>
  <c r="F41" i="5" s="1"/>
  <c r="F28" i="5"/>
  <c r="F24" i="5"/>
  <c r="E24" i="5"/>
  <c r="E29" i="5"/>
  <c r="E25" i="5"/>
  <c r="D29" i="5"/>
  <c r="D25" i="5"/>
  <c r="D24" i="5"/>
  <c r="E26" i="5"/>
  <c r="D26" i="5"/>
  <c r="E22" i="5"/>
  <c r="E23" i="5"/>
  <c r="G23" i="5"/>
  <c r="G45" i="5"/>
  <c r="D27" i="5"/>
  <c r="D36" i="5"/>
  <c r="D40" i="5"/>
  <c r="D45" i="5"/>
  <c r="D49" i="5"/>
  <c r="D58" i="5"/>
  <c r="D62" i="5"/>
  <c r="D22" i="5"/>
  <c r="G24" i="5"/>
  <c r="E27" i="5"/>
  <c r="G33" i="5"/>
  <c r="G37" i="5"/>
  <c r="E40" i="5"/>
  <c r="E45" i="5"/>
  <c r="E52" i="5" s="1"/>
  <c r="G46" i="5"/>
  <c r="G50" i="5"/>
  <c r="G55" i="5"/>
  <c r="E58" i="5"/>
  <c r="G59" i="5"/>
  <c r="E62" i="5"/>
  <c r="G27" i="5"/>
  <c r="G58" i="5"/>
  <c r="D23" i="5"/>
  <c r="C17" i="5"/>
  <c r="C18" i="5" s="1"/>
  <c r="G28" i="5"/>
  <c r="E36" i="5"/>
  <c r="E49" i="5"/>
  <c r="D35" i="5"/>
  <c r="D39" i="5"/>
  <c r="D44" i="5"/>
  <c r="D48" i="5"/>
  <c r="D57" i="5"/>
  <c r="D61" i="5"/>
  <c r="G40" i="5"/>
  <c r="G49" i="5"/>
  <c r="D51" i="5"/>
  <c r="D56" i="5"/>
  <c r="D60" i="5"/>
  <c r="E34" i="5"/>
  <c r="G39" i="5"/>
  <c r="G44" i="5"/>
  <c r="E47" i="5"/>
  <c r="E51" i="5"/>
  <c r="E56" i="5"/>
  <c r="G57" i="5"/>
  <c r="G61" i="5"/>
  <c r="D28" i="5"/>
  <c r="D33" i="5"/>
  <c r="D41" i="5" s="1"/>
  <c r="D37" i="5"/>
  <c r="D46" i="5"/>
  <c r="D50" i="5"/>
  <c r="D55" i="5"/>
  <c r="D59" i="5"/>
  <c r="G36" i="5"/>
  <c r="G22" i="5"/>
  <c r="D47" i="5"/>
  <c r="G26" i="5"/>
  <c r="G35" i="5"/>
  <c r="E38" i="5"/>
  <c r="G48" i="5"/>
  <c r="E60" i="5"/>
  <c r="I16" i="5"/>
  <c r="G25" i="5"/>
  <c r="E28" i="5"/>
  <c r="G29" i="5"/>
  <c r="E33" i="5"/>
  <c r="G34" i="5"/>
  <c r="E37" i="5"/>
  <c r="G38" i="5"/>
  <c r="E46" i="5"/>
  <c r="G47" i="5"/>
  <c r="E50" i="5"/>
  <c r="G51" i="5"/>
  <c r="E55" i="5"/>
  <c r="G56" i="5"/>
  <c r="F59" i="6"/>
  <c r="F55" i="6"/>
  <c r="F50" i="6"/>
  <c r="F46" i="6"/>
  <c r="F37" i="6"/>
  <c r="F33" i="6"/>
  <c r="F41" i="6" s="1"/>
  <c r="F24" i="6"/>
  <c r="F60" i="6"/>
  <c r="F56" i="6"/>
  <c r="F51" i="6"/>
  <c r="F47" i="6"/>
  <c r="F38" i="6"/>
  <c r="F34" i="6"/>
  <c r="F29" i="6"/>
  <c r="F25" i="6"/>
  <c r="F61" i="6"/>
  <c r="F57" i="6"/>
  <c r="F48" i="6"/>
  <c r="F44" i="6"/>
  <c r="F39" i="6"/>
  <c r="F35" i="6"/>
  <c r="F26" i="6"/>
  <c r="F62" i="6"/>
  <c r="F58" i="6"/>
  <c r="F49" i="6"/>
  <c r="F45" i="6"/>
  <c r="F40" i="6"/>
  <c r="F36" i="6"/>
  <c r="F27" i="6"/>
  <c r="F23" i="6"/>
  <c r="F28" i="6"/>
  <c r="F22" i="6"/>
  <c r="F30" i="6" s="1"/>
  <c r="I16" i="6"/>
  <c r="C17" i="6"/>
  <c r="C18" i="6" s="1"/>
  <c r="D62" i="6"/>
  <c r="D58" i="6"/>
  <c r="D49" i="6"/>
  <c r="D45" i="6"/>
  <c r="D40" i="6"/>
  <c r="D36" i="6"/>
  <c r="D27" i="6"/>
  <c r="D23" i="6"/>
  <c r="E55" i="6"/>
  <c r="E50" i="6"/>
  <c r="E33" i="6"/>
  <c r="E28" i="6"/>
  <c r="E60" i="6"/>
  <c r="E56" i="6"/>
  <c r="E51" i="6"/>
  <c r="D59" i="6"/>
  <c r="D55" i="6"/>
  <c r="D50" i="6"/>
  <c r="D46" i="6"/>
  <c r="D37" i="6"/>
  <c r="D33" i="6"/>
  <c r="D28" i="6"/>
  <c r="D60" i="6"/>
  <c r="D56" i="6"/>
  <c r="D51" i="6"/>
  <c r="D47" i="6"/>
  <c r="D38" i="6"/>
  <c r="D34" i="6"/>
  <c r="E61" i="6"/>
  <c r="E57" i="6"/>
  <c r="D61" i="6"/>
  <c r="D57" i="6"/>
  <c r="D48" i="6"/>
  <c r="D44" i="6"/>
  <c r="D39" i="6"/>
  <c r="D35" i="6"/>
  <c r="E62" i="6"/>
  <c r="E58" i="6"/>
  <c r="E49" i="6"/>
  <c r="E45" i="6"/>
  <c r="E40" i="6"/>
  <c r="E36" i="6"/>
  <c r="E27" i="6"/>
  <c r="D22" i="6"/>
  <c r="D30" i="6" s="1"/>
  <c r="E59" i="6"/>
  <c r="E46" i="6"/>
  <c r="E37" i="6"/>
  <c r="E47" i="6"/>
  <c r="E38" i="6"/>
  <c r="E34" i="6"/>
  <c r="E48" i="6"/>
  <c r="E44" i="6"/>
  <c r="E52" i="6" s="1"/>
  <c r="E39" i="6"/>
  <c r="E35" i="6"/>
  <c r="E25" i="6"/>
  <c r="D24" i="6"/>
  <c r="D29" i="6"/>
  <c r="D25" i="6"/>
  <c r="D26" i="6"/>
  <c r="E22" i="6"/>
  <c r="E23" i="6"/>
  <c r="E24" i="6"/>
  <c r="E29" i="6"/>
  <c r="E26" i="6"/>
  <c r="G60" i="6"/>
  <c r="G47" i="6"/>
  <c r="G38" i="6"/>
  <c r="G25" i="6"/>
  <c r="G48" i="6"/>
  <c r="G39" i="6"/>
  <c r="G35" i="6"/>
  <c r="G22" i="6"/>
  <c r="G62" i="6"/>
  <c r="G58" i="6"/>
  <c r="G59" i="6"/>
  <c r="G55" i="6"/>
  <c r="G50" i="6"/>
  <c r="G46" i="6"/>
  <c r="G37" i="6"/>
  <c r="G33" i="6"/>
  <c r="G28" i="6"/>
  <c r="G24" i="6"/>
  <c r="G56" i="6"/>
  <c r="G51" i="6"/>
  <c r="G34" i="6"/>
  <c r="G29" i="6"/>
  <c r="G61" i="6"/>
  <c r="G57" i="6"/>
  <c r="G44" i="6"/>
  <c r="G26" i="6"/>
  <c r="G49" i="6"/>
  <c r="G45" i="6"/>
  <c r="G40" i="6"/>
  <c r="G36" i="6"/>
  <c r="G27" i="6"/>
  <c r="G23" i="6"/>
  <c r="C24" i="4" l="1"/>
  <c r="H24" i="4" s="1"/>
  <c r="C60" i="4"/>
  <c r="C25" i="4"/>
  <c r="H25" i="4" s="1"/>
  <c r="C62" i="4"/>
  <c r="C58" i="4"/>
  <c r="C49" i="4"/>
  <c r="C45" i="4"/>
  <c r="C40" i="4"/>
  <c r="C36" i="4"/>
  <c r="C27" i="4"/>
  <c r="H27" i="4" s="1"/>
  <c r="C23" i="4"/>
  <c r="H23" i="4" s="1"/>
  <c r="C37" i="4"/>
  <c r="C56" i="4"/>
  <c r="C55" i="4"/>
  <c r="C63" i="4" s="1"/>
  <c r="C50" i="4"/>
  <c r="C46" i="4"/>
  <c r="C33" i="4"/>
  <c r="H36" i="4" s="1"/>
  <c r="C28" i="4"/>
  <c r="H28" i="4" s="1"/>
  <c r="C29" i="4"/>
  <c r="C59" i="4"/>
  <c r="C61" i="4"/>
  <c r="C57" i="4"/>
  <c r="C48" i="4"/>
  <c r="C44" i="4"/>
  <c r="C39" i="4"/>
  <c r="C35" i="4"/>
  <c r="C26" i="4"/>
  <c r="H26" i="4" s="1"/>
  <c r="C51" i="4"/>
  <c r="C47" i="4"/>
  <c r="C38" i="4"/>
  <c r="C34" i="4"/>
  <c r="H37" i="4" s="1"/>
  <c r="F52" i="4"/>
  <c r="D52" i="4"/>
  <c r="E30" i="4"/>
  <c r="D41" i="4"/>
  <c r="E63" i="4"/>
  <c r="D63" i="4"/>
  <c r="D30" i="4"/>
  <c r="F30" i="4"/>
  <c r="F63" i="4"/>
  <c r="E52" i="4"/>
  <c r="E41" i="4"/>
  <c r="C22" i="2"/>
  <c r="C37" i="2"/>
  <c r="C33" i="2"/>
  <c r="H36" i="2" s="1"/>
  <c r="C24" i="2"/>
  <c r="H24" i="2" s="1"/>
  <c r="C60" i="2"/>
  <c r="C34" i="2"/>
  <c r="H37" i="2" s="1"/>
  <c r="C25" i="2"/>
  <c r="H25" i="2" s="1"/>
  <c r="C62" i="2"/>
  <c r="C58" i="2"/>
  <c r="C49" i="2"/>
  <c r="C45" i="2"/>
  <c r="C40" i="2"/>
  <c r="C36" i="2"/>
  <c r="C27" i="2"/>
  <c r="H27" i="2" s="1"/>
  <c r="C23" i="2"/>
  <c r="H23" i="2" s="1"/>
  <c r="C28" i="2"/>
  <c r="H28" i="2" s="1"/>
  <c r="C59" i="2"/>
  <c r="C55" i="2"/>
  <c r="C50" i="2"/>
  <c r="C46" i="2"/>
  <c r="C29" i="2"/>
  <c r="C61" i="2"/>
  <c r="C57" i="2"/>
  <c r="C48" i="2"/>
  <c r="C44" i="2"/>
  <c r="C39" i="2"/>
  <c r="C35" i="2"/>
  <c r="C26" i="2"/>
  <c r="H26" i="2" s="1"/>
  <c r="C56" i="2"/>
  <c r="C51" i="2"/>
  <c r="C47" i="2"/>
  <c r="C38" i="2"/>
  <c r="F41" i="2"/>
  <c r="D41" i="2"/>
  <c r="D52" i="2"/>
  <c r="E41" i="2"/>
  <c r="E52" i="2"/>
  <c r="E63" i="2"/>
  <c r="F63" i="2"/>
  <c r="F52" i="2"/>
  <c r="D63" i="2"/>
  <c r="F30" i="2"/>
  <c r="E30" i="2"/>
  <c r="F30" i="3"/>
  <c r="D41" i="3"/>
  <c r="E63" i="3"/>
  <c r="H26" i="3"/>
  <c r="H28" i="3"/>
  <c r="E30" i="3"/>
  <c r="F52" i="3"/>
  <c r="D30" i="3"/>
  <c r="H36" i="3"/>
  <c r="H24" i="3"/>
  <c r="F41" i="3"/>
  <c r="H25" i="3"/>
  <c r="H60" i="3"/>
  <c r="H56" i="3"/>
  <c r="H51" i="3"/>
  <c r="H47" i="3"/>
  <c r="H38" i="3"/>
  <c r="H29" i="3"/>
  <c r="H62" i="3"/>
  <c r="H58" i="3"/>
  <c r="H45" i="3"/>
  <c r="H49" i="3"/>
  <c r="H40" i="3"/>
  <c r="H61" i="3"/>
  <c r="H57" i="3"/>
  <c r="H48" i="3"/>
  <c r="H44" i="3"/>
  <c r="H39" i="3"/>
  <c r="H59" i="3"/>
  <c r="H55" i="3"/>
  <c r="H50" i="3"/>
  <c r="H46" i="3"/>
  <c r="H33" i="3"/>
  <c r="C41" i="3"/>
  <c r="H22" i="3"/>
  <c r="C52" i="3"/>
  <c r="C30" i="3"/>
  <c r="D63" i="3"/>
  <c r="H27" i="3"/>
  <c r="F63" i="3"/>
  <c r="H37" i="3"/>
  <c r="D52" i="3"/>
  <c r="E41" i="3"/>
  <c r="C63" i="3"/>
  <c r="E52" i="3"/>
  <c r="C62" i="5"/>
  <c r="C58" i="5"/>
  <c r="C49" i="5"/>
  <c r="C45" i="5"/>
  <c r="C40" i="5"/>
  <c r="C36" i="5"/>
  <c r="C27" i="5"/>
  <c r="H27" i="5" s="1"/>
  <c r="C23" i="5"/>
  <c r="H23" i="5" s="1"/>
  <c r="C55" i="5"/>
  <c r="C50" i="5"/>
  <c r="C46" i="5"/>
  <c r="C33" i="5"/>
  <c r="H36" i="5" s="1"/>
  <c r="C60" i="5"/>
  <c r="C56" i="5"/>
  <c r="C51" i="5"/>
  <c r="C29" i="5"/>
  <c r="C25" i="5"/>
  <c r="H25" i="5" s="1"/>
  <c r="C59" i="5"/>
  <c r="C37" i="5"/>
  <c r="C28" i="5"/>
  <c r="H28" i="5" s="1"/>
  <c r="C24" i="5"/>
  <c r="H24" i="5" s="1"/>
  <c r="C47" i="5"/>
  <c r="C34" i="5"/>
  <c r="H37" i="5" s="1"/>
  <c r="C61" i="5"/>
  <c r="C57" i="5"/>
  <c r="C48" i="5"/>
  <c r="C44" i="5"/>
  <c r="C39" i="5"/>
  <c r="C35" i="5"/>
  <c r="C26" i="5"/>
  <c r="H26" i="5" s="1"/>
  <c r="C22" i="5"/>
  <c r="C38" i="5"/>
  <c r="F30" i="5"/>
  <c r="D52" i="5"/>
  <c r="F52" i="5"/>
  <c r="D63" i="5"/>
  <c r="F63" i="5"/>
  <c r="D30" i="5"/>
  <c r="E63" i="5"/>
  <c r="E41" i="5"/>
  <c r="E30" i="5"/>
  <c r="C22" i="6"/>
  <c r="C45" i="6"/>
  <c r="C40" i="6"/>
  <c r="C36" i="6"/>
  <c r="C23" i="6"/>
  <c r="H23" i="6" s="1"/>
  <c r="C46" i="6"/>
  <c r="C37" i="6"/>
  <c r="C33" i="6"/>
  <c r="H36" i="6" s="1"/>
  <c r="C28" i="6"/>
  <c r="H28" i="6" s="1"/>
  <c r="C60" i="6"/>
  <c r="C56" i="6"/>
  <c r="C61" i="6"/>
  <c r="C57" i="6"/>
  <c r="C48" i="6"/>
  <c r="C44" i="6"/>
  <c r="C39" i="6"/>
  <c r="C35" i="6"/>
  <c r="C26" i="6"/>
  <c r="H26" i="6" s="1"/>
  <c r="C62" i="6"/>
  <c r="C58" i="6"/>
  <c r="C49" i="6"/>
  <c r="C27" i="6"/>
  <c r="H27" i="6" s="1"/>
  <c r="C59" i="6"/>
  <c r="C55" i="6"/>
  <c r="C63" i="6" s="1"/>
  <c r="C50" i="6"/>
  <c r="C24" i="6"/>
  <c r="H24" i="6" s="1"/>
  <c r="C51" i="6"/>
  <c r="C47" i="6"/>
  <c r="C38" i="6"/>
  <c r="C34" i="6"/>
  <c r="H37" i="6" s="1"/>
  <c r="C29" i="6"/>
  <c r="C25" i="6"/>
  <c r="H25" i="6" s="1"/>
  <c r="E30" i="6"/>
  <c r="E63" i="6"/>
  <c r="D41" i="6"/>
  <c r="F52" i="6"/>
  <c r="D63" i="6"/>
  <c r="F63" i="6"/>
  <c r="E41" i="6"/>
  <c r="D52" i="6"/>
  <c r="H60" i="4" l="1"/>
  <c r="H56" i="4"/>
  <c r="H51" i="4"/>
  <c r="H47" i="4"/>
  <c r="H38" i="4"/>
  <c r="H29" i="4"/>
  <c r="H45" i="4"/>
  <c r="H55" i="4"/>
  <c r="H50" i="4"/>
  <c r="H61" i="4"/>
  <c r="H57" i="4"/>
  <c r="H48" i="4"/>
  <c r="H44" i="4"/>
  <c r="H39" i="4"/>
  <c r="H62" i="4"/>
  <c r="H49" i="4"/>
  <c r="H40" i="4"/>
  <c r="H46" i="4"/>
  <c r="H58" i="4"/>
  <c r="H59" i="4"/>
  <c r="H33" i="4"/>
  <c r="C41" i="4"/>
  <c r="H22" i="4"/>
  <c r="C52" i="4"/>
  <c r="C30" i="4"/>
  <c r="C63" i="2"/>
  <c r="H60" i="2"/>
  <c r="H56" i="2"/>
  <c r="H51" i="2"/>
  <c r="H47" i="2"/>
  <c r="H38" i="2"/>
  <c r="H29" i="2"/>
  <c r="H55" i="2"/>
  <c r="H58" i="2"/>
  <c r="H49" i="2"/>
  <c r="H59" i="2"/>
  <c r="H61" i="2"/>
  <c r="H57" i="2"/>
  <c r="H48" i="2"/>
  <c r="H44" i="2"/>
  <c r="H39" i="2"/>
  <c r="H62" i="2"/>
  <c r="H45" i="2"/>
  <c r="H50" i="2"/>
  <c r="H46" i="2"/>
  <c r="H40" i="2"/>
  <c r="H33" i="2"/>
  <c r="C41" i="2"/>
  <c r="H22" i="2"/>
  <c r="C52" i="2"/>
  <c r="C30" i="2"/>
  <c r="H34" i="3"/>
  <c r="H61" i="5"/>
  <c r="H57" i="5"/>
  <c r="H48" i="5"/>
  <c r="H44" i="5"/>
  <c r="H39" i="5"/>
  <c r="H58" i="5"/>
  <c r="H49" i="5"/>
  <c r="H45" i="5"/>
  <c r="H40" i="5"/>
  <c r="H62" i="5"/>
  <c r="H59" i="5"/>
  <c r="H55" i="5"/>
  <c r="H50" i="5"/>
  <c r="H46" i="5"/>
  <c r="H33" i="5"/>
  <c r="H60" i="5"/>
  <c r="H56" i="5"/>
  <c r="H51" i="5"/>
  <c r="H47" i="5"/>
  <c r="H38" i="5"/>
  <c r="H29" i="5"/>
  <c r="C41" i="5"/>
  <c r="H22" i="5"/>
  <c r="C52" i="5"/>
  <c r="C30" i="5"/>
  <c r="C63" i="5"/>
  <c r="H60" i="6"/>
  <c r="H56" i="6"/>
  <c r="H51" i="6"/>
  <c r="H47" i="6"/>
  <c r="H38" i="6"/>
  <c r="H29" i="6"/>
  <c r="H61" i="6"/>
  <c r="H57" i="6"/>
  <c r="H48" i="6"/>
  <c r="H44" i="6"/>
  <c r="H39" i="6"/>
  <c r="H62" i="6"/>
  <c r="H58" i="6"/>
  <c r="H49" i="6"/>
  <c r="H45" i="6"/>
  <c r="H40" i="6"/>
  <c r="H59" i="6"/>
  <c r="H55" i="6"/>
  <c r="H50" i="6"/>
  <c r="H46" i="6"/>
  <c r="H33" i="6"/>
  <c r="C41" i="6"/>
  <c r="H22" i="6"/>
  <c r="C52" i="6"/>
  <c r="C30" i="6"/>
  <c r="H34" i="4" l="1"/>
  <c r="H34" i="2"/>
  <c r="H34" i="5"/>
  <c r="H34" i="6"/>
  <c r="H35" i="1" l="1"/>
  <c r="F17" i="1" l="1"/>
  <c r="F18" i="1" s="1"/>
  <c r="E17" i="1"/>
  <c r="E18" i="1" s="1"/>
  <c r="D17" i="1"/>
  <c r="D18" i="1" s="1"/>
  <c r="D56" i="1" l="1"/>
  <c r="D22" i="1"/>
  <c r="E59" i="1"/>
  <c r="D58" i="1"/>
  <c r="E60" i="1"/>
  <c r="D55" i="1"/>
  <c r="E27" i="1"/>
  <c r="E58" i="1"/>
  <c r="D39" i="1"/>
  <c r="E62" i="1"/>
  <c r="E61" i="1"/>
  <c r="D57" i="1"/>
  <c r="D62" i="1"/>
  <c r="D50" i="1"/>
  <c r="E28" i="1"/>
  <c r="E57" i="1"/>
  <c r="D60" i="1"/>
  <c r="E38" i="1"/>
  <c r="E55" i="1"/>
  <c r="D59" i="1"/>
  <c r="D38" i="1"/>
  <c r="D28" i="1"/>
  <c r="D27" i="1"/>
  <c r="D61" i="1"/>
  <c r="D49" i="1"/>
  <c r="E39" i="1"/>
  <c r="E56" i="1"/>
  <c r="E50" i="1"/>
  <c r="E49" i="1"/>
  <c r="E48" i="1"/>
  <c r="D25" i="1"/>
  <c r="E22" i="1"/>
  <c r="F48" i="1"/>
  <c r="F62" i="1"/>
  <c r="F55" i="1"/>
  <c r="F26" i="1"/>
  <c r="F61" i="1"/>
  <c r="F50" i="1"/>
  <c r="F38" i="1"/>
  <c r="F58" i="1"/>
  <c r="F27" i="1"/>
  <c r="F56" i="1"/>
  <c r="F60" i="1"/>
  <c r="F49" i="1"/>
  <c r="F22" i="1"/>
  <c r="F28" i="1"/>
  <c r="F33" i="1"/>
  <c r="F57" i="1"/>
  <c r="F59" i="1"/>
  <c r="F39" i="1"/>
  <c r="D47" i="1"/>
  <c r="D36" i="1"/>
  <c r="D51" i="1"/>
  <c r="D45" i="1"/>
  <c r="D40" i="1"/>
  <c r="D34" i="1"/>
  <c r="D23" i="1"/>
  <c r="E35" i="1"/>
  <c r="E47" i="1"/>
  <c r="E36" i="1"/>
  <c r="E37" i="1"/>
  <c r="E45" i="1"/>
  <c r="D33" i="1"/>
  <c r="D46" i="1"/>
  <c r="D35" i="1"/>
  <c r="D48" i="1"/>
  <c r="E44" i="1"/>
  <c r="D37" i="1"/>
  <c r="E33" i="1"/>
  <c r="E51" i="1"/>
  <c r="D44" i="1"/>
  <c r="E40" i="1"/>
  <c r="E34" i="1"/>
  <c r="E46" i="1"/>
  <c r="E25" i="1"/>
  <c r="F25" i="1"/>
  <c r="E23" i="1"/>
  <c r="E29" i="1"/>
  <c r="F23" i="1"/>
  <c r="D26" i="1"/>
  <c r="F29" i="1"/>
  <c r="F34" i="1"/>
  <c r="F40" i="1"/>
  <c r="F45" i="1"/>
  <c r="F51" i="1"/>
  <c r="E24" i="1"/>
  <c r="F35" i="1"/>
  <c r="E26" i="1"/>
  <c r="F44" i="1"/>
  <c r="D24" i="1"/>
  <c r="F36" i="1"/>
  <c r="F47" i="1"/>
  <c r="F24" i="1"/>
  <c r="D29" i="1"/>
  <c r="F46" i="1"/>
  <c r="F37" i="1"/>
  <c r="E30" i="1" l="1"/>
  <c r="F30" i="1"/>
  <c r="F63" i="1"/>
  <c r="E63" i="1"/>
  <c r="D63" i="1"/>
  <c r="D30" i="1"/>
  <c r="E41" i="1"/>
  <c r="D41" i="1"/>
  <c r="E52" i="1"/>
  <c r="F41" i="1"/>
  <c r="F52" i="1"/>
  <c r="D52" i="1"/>
  <c r="H16" i="1" l="1"/>
  <c r="C16" i="1" s="1"/>
  <c r="G17" i="1"/>
  <c r="G18" i="1" s="1"/>
  <c r="G58" i="1" l="1"/>
  <c r="G60" i="1"/>
  <c r="G50" i="1"/>
  <c r="G57" i="1"/>
  <c r="G38" i="1"/>
  <c r="G62" i="1"/>
  <c r="G37" i="1"/>
  <c r="G49" i="1"/>
  <c r="G56" i="1"/>
  <c r="G27" i="1"/>
  <c r="G44" i="1"/>
  <c r="G26" i="1"/>
  <c r="G61" i="1"/>
  <c r="G59" i="1"/>
  <c r="G39" i="1"/>
  <c r="G28" i="1"/>
  <c r="G55" i="1"/>
  <c r="G22" i="1"/>
  <c r="G40" i="1"/>
  <c r="G25" i="1"/>
  <c r="G24" i="1"/>
  <c r="G46" i="1"/>
  <c r="G33" i="1"/>
  <c r="G45" i="1"/>
  <c r="G29" i="1"/>
  <c r="G23" i="1"/>
  <c r="G51" i="1"/>
  <c r="G36" i="1"/>
  <c r="G48" i="1"/>
  <c r="G35" i="1"/>
  <c r="G47" i="1"/>
  <c r="G34" i="1"/>
  <c r="C17" i="1"/>
  <c r="C18" i="1" s="1"/>
  <c r="C22" i="1" s="1"/>
  <c r="I16" i="1"/>
  <c r="C61" i="1" l="1"/>
  <c r="C49" i="1"/>
  <c r="C50" i="1"/>
  <c r="C60" i="1"/>
  <c r="C48" i="1"/>
  <c r="C28" i="1"/>
  <c r="H28" i="1" s="1"/>
  <c r="C57" i="1"/>
  <c r="C56" i="1"/>
  <c r="C39" i="1"/>
  <c r="C59" i="1"/>
  <c r="C62" i="1"/>
  <c r="C27" i="1"/>
  <c r="H27" i="1" s="1"/>
  <c r="C58" i="1"/>
  <c r="C38" i="1"/>
  <c r="C55" i="1"/>
  <c r="C45" i="1"/>
  <c r="C29" i="1"/>
  <c r="C44" i="1"/>
  <c r="C26" i="1"/>
  <c r="H26" i="1" s="1"/>
  <c r="C40" i="1"/>
  <c r="C25" i="1"/>
  <c r="H25" i="1" s="1"/>
  <c r="C37" i="1"/>
  <c r="C47" i="1"/>
  <c r="C34" i="1"/>
  <c r="H37" i="1" s="1"/>
  <c r="C51" i="1"/>
  <c r="C46" i="1"/>
  <c r="C33" i="1"/>
  <c r="H36" i="1" s="1"/>
  <c r="C24" i="1"/>
  <c r="H24" i="1" s="1"/>
  <c r="C36" i="1"/>
  <c r="C23" i="1"/>
  <c r="H23" i="1" s="1"/>
  <c r="C35" i="1"/>
  <c r="H22" i="1" l="1"/>
  <c r="C30" i="1"/>
  <c r="H34" i="1" s="1"/>
  <c r="H62" i="1"/>
  <c r="H51" i="1"/>
  <c r="H40" i="1"/>
  <c r="H29" i="1"/>
  <c r="H61" i="1"/>
  <c r="H50" i="1"/>
  <c r="H39" i="1"/>
  <c r="H44" i="1"/>
  <c r="H60" i="1"/>
  <c r="H49" i="1"/>
  <c r="H38" i="1"/>
  <c r="H47" i="1"/>
  <c r="H46" i="1"/>
  <c r="H45" i="1"/>
  <c r="H59" i="1"/>
  <c r="H48" i="1"/>
  <c r="H33" i="1"/>
  <c r="H58" i="1"/>
  <c r="H57" i="1"/>
  <c r="H56" i="1"/>
  <c r="H55" i="1"/>
  <c r="C63" i="1"/>
  <c r="C52" i="1"/>
  <c r="C41" i="1"/>
</calcChain>
</file>

<file path=xl/sharedStrings.xml><?xml version="1.0" encoding="utf-8"?>
<sst xmlns="http://schemas.openxmlformats.org/spreadsheetml/2006/main" count="1146" uniqueCount="660">
  <si>
    <t>A</t>
  </si>
  <si>
    <t>B</t>
  </si>
  <si>
    <t>C</t>
  </si>
  <si>
    <t>D</t>
  </si>
  <si>
    <t>E</t>
  </si>
  <si>
    <t>F</t>
  </si>
  <si>
    <t>G</t>
  </si>
  <si>
    <t>H</t>
  </si>
  <si>
    <t>version 1.0 Jared S. Farrar</t>
  </si>
  <si>
    <t>Checked by/date:</t>
  </si>
  <si>
    <t>DNA to Add/Sample</t>
  </si>
  <si>
    <t>RXN CALCULATOR</t>
  </si>
  <si>
    <t xml:space="preserve">Water  </t>
  </si>
  <si>
    <t xml:space="preserve">F Primer  </t>
  </si>
  <si>
    <t xml:space="preserve">R Primer  </t>
  </si>
  <si>
    <t xml:space="preserve">Master Mix  </t>
  </si>
  <si>
    <t>total before water</t>
  </si>
  <si>
    <t>Total vol</t>
  </si>
  <si>
    <t>amt for 1 RXN</t>
  </si>
  <si>
    <t>* 10%</t>
  </si>
  <si>
    <t>10% overage total</t>
  </si>
  <si>
    <t xml:space="preserve">Water 10% overage </t>
  </si>
  <si>
    <t xml:space="preserve">F Primer 10% overage </t>
  </si>
  <si>
    <t>R Primer 10% overage</t>
  </si>
  <si>
    <t xml:space="preserve">Master mix 10% overage </t>
  </si>
  <si>
    <t>&lt;-- Enter number of RXNs for Mix</t>
  </si>
  <si>
    <t>File Name: Immunity_qPCR_New_FL</t>
  </si>
  <si>
    <t>New FL TRIM Indiv 1 R1</t>
  </si>
  <si>
    <t>New FL TRIM Indiv 1 R2</t>
  </si>
  <si>
    <t>New FL TRIM Indiv 1 R3</t>
  </si>
  <si>
    <t>New FL TRIM Indiv 2 R1</t>
  </si>
  <si>
    <t>New FL TRIM Indiv 2 R2</t>
  </si>
  <si>
    <t>New FL TRIM Indiv 2 R3</t>
  </si>
  <si>
    <t>New FL TRIM Indiv 3 R1</t>
  </si>
  <si>
    <t>New FL TRIM Indiv 3 R2</t>
  </si>
  <si>
    <t>New FL TRIM Indiv 3 R3</t>
  </si>
  <si>
    <t>New FL TRIM Indiv 4 R1</t>
  </si>
  <si>
    <t>New FL TRIM Indiv 4 R2</t>
  </si>
  <si>
    <t>New FL TRIM Indiv 4 R3</t>
  </si>
  <si>
    <t>New FL TRIM Indiv 5 R1</t>
  </si>
  <si>
    <t>New FL TRIM Indiv 5 R2</t>
  </si>
  <si>
    <t>New FL TRIM Indiv 5 R3</t>
  </si>
  <si>
    <t>New FL TRIM Indiv 6 R1</t>
  </si>
  <si>
    <t>New FL TRIM Indiv 6 R2</t>
  </si>
  <si>
    <t>New FL TRIM Indiv 6 R3</t>
  </si>
  <si>
    <t>New FL TRIM Indiv 7 R1</t>
  </si>
  <si>
    <t>New FL TRIM Indiv 7 R2</t>
  </si>
  <si>
    <t>New FL TRIM Indiv 7 R3</t>
  </si>
  <si>
    <t>New FL TRIM Indiv 8 R1</t>
  </si>
  <si>
    <t>New FL TRIM Indiv 8 R2</t>
  </si>
  <si>
    <t>New FL TRIM Indiv 8 R3</t>
  </si>
  <si>
    <t>New FL STING Indiv 1 R1</t>
  </si>
  <si>
    <t>New FL STING Indiv 1 R2</t>
  </si>
  <si>
    <t>New FL STING Indiv 1 R3</t>
  </si>
  <si>
    <t>New FL STING Indiv 2 R1</t>
  </si>
  <si>
    <t>New FL STING Indiv 2 R3</t>
  </si>
  <si>
    <t>New FL STING Indiv 2 R2</t>
  </si>
  <si>
    <t>New FL STING Indiv 3 R1</t>
  </si>
  <si>
    <t>New FL STING Indiv 3 R2</t>
  </si>
  <si>
    <t>New FL STING Indiv 3 R3</t>
  </si>
  <si>
    <t>New FL STING Indiv 4 R1</t>
  </si>
  <si>
    <t>New FL STING Indiv 4 R2</t>
  </si>
  <si>
    <t>New FL STING Indiv 4 R3</t>
  </si>
  <si>
    <t>New FL STING Indiv 5 R1</t>
  </si>
  <si>
    <t>New FL STING Indiv 5 R2</t>
  </si>
  <si>
    <t>New FL STING Indiv 5 R3</t>
  </si>
  <si>
    <t>New FL STING Indiv 6 R1</t>
  </si>
  <si>
    <t>New FL STING Indiv 6 R2</t>
  </si>
  <si>
    <t>New FL STING Indiv 6 R3</t>
  </si>
  <si>
    <t>New FL STING Indiv 7 R1</t>
  </si>
  <si>
    <t>New FL STING Indiv 7 R2</t>
  </si>
  <si>
    <t>New FL STING Indiv 7 R3</t>
  </si>
  <si>
    <t>New FL STING Indiv 8 R1</t>
  </si>
  <si>
    <t>New FL STING Indiv 8 R2</t>
  </si>
  <si>
    <t>New FL STING Indiv 8 R3</t>
  </si>
  <si>
    <t>New FL cGAS Indiv 1 R1</t>
  </si>
  <si>
    <t>New FL cGAS Indiv 1 R2</t>
  </si>
  <si>
    <t>New FL cGAS Indiv 1 R3</t>
  </si>
  <si>
    <t>New FL cGAS Indiv 2 R1</t>
  </si>
  <si>
    <t>New FL cGAS Indiv 2 R2</t>
  </si>
  <si>
    <t>New FL cGAS Indiv 2 R3</t>
  </si>
  <si>
    <t>New FL cGAS Indiv 3 R1</t>
  </si>
  <si>
    <t>New FL cGAS Indiv 3 R2</t>
  </si>
  <si>
    <t>New FL cGAS Indiv 3 R3</t>
  </si>
  <si>
    <t>New FL cGAS Indiv 4 R1</t>
  </si>
  <si>
    <t>New FL cGAS Indiv 4 R2</t>
  </si>
  <si>
    <t>New FL cGAS Indiv 4 R3</t>
  </si>
  <si>
    <t>New FL cGAS Indiv 5 R1</t>
  </si>
  <si>
    <t>New FL cGAS Indiv 5 R2</t>
  </si>
  <si>
    <t>New FL cGAS Indiv 5 R3</t>
  </si>
  <si>
    <t>New FL cGAS Indiv 6 R1</t>
  </si>
  <si>
    <t>New FL cGAS Indiv 6 R2</t>
  </si>
  <si>
    <t>New FL cGAS Indiv 6 R3</t>
  </si>
  <si>
    <t>New FL cGAS Indiv 7 R1</t>
  </si>
  <si>
    <t>New FL cGAS Indiv 7 R2</t>
  </si>
  <si>
    <t>New FL cGAS Indiv 7 R3</t>
  </si>
  <si>
    <t>New FL cGAS Indiv 8 R1</t>
  </si>
  <si>
    <t>New FL cGAS Indiv 8 R2</t>
  </si>
  <si>
    <t>New FL cGAS Indiv 8 R3</t>
  </si>
  <si>
    <t>NEW FL Indiv 1 CAT R1</t>
  </si>
  <si>
    <t>NEW FL Indiv 1 CAT R2</t>
  </si>
  <si>
    <t>NEW FL Indiv 1 CAT R3</t>
  </si>
  <si>
    <t>NEW FL Indiv 2 CAT R1</t>
  </si>
  <si>
    <t>NEW FL Indiv 2 CAT R2</t>
  </si>
  <si>
    <t>NEW FL Indiv 2 CAT R3</t>
  </si>
  <si>
    <t>NEW FL Indiv 3 CAT R1</t>
  </si>
  <si>
    <t>NEW FL Indiv 3 CAT R2</t>
  </si>
  <si>
    <t>NEW FL Indiv 3 CAT R3</t>
  </si>
  <si>
    <t>NEW FL Indiv 4 CAT R1</t>
  </si>
  <si>
    <t>NEW FL Indiv 4 CAT R2</t>
  </si>
  <si>
    <t>NEW FL Indiv 4 CAT R3</t>
  </si>
  <si>
    <t>NEW FL Indiv 5 CAT R1</t>
  </si>
  <si>
    <t>NEW FL Indiv 5 CAT R2</t>
  </si>
  <si>
    <t>NEW FL Indiv 5 CAT R3</t>
  </si>
  <si>
    <t>NEW FL Indiv 6 CAT R1</t>
  </si>
  <si>
    <t>NEW FL Indiv 6 CAT R2</t>
  </si>
  <si>
    <t>NEW FL Indiv 6 CAT R3</t>
  </si>
  <si>
    <t>NEW FL Indiv 7 CAT R1</t>
  </si>
  <si>
    <t>NEW FL Indiv 7 CAT R2</t>
  </si>
  <si>
    <t>NEW FL Indiv 7 CAT R3</t>
  </si>
  <si>
    <t>NEW FL Indiv 8 CAT R1</t>
  </si>
  <si>
    <t>NEW FL Indiv 8 CAT R2</t>
  </si>
  <si>
    <t>NEW FL Indiv 8 CAT R3</t>
  </si>
  <si>
    <t>2) Make 32 Experiment Tubes (One for each Individual --&gt; contains 3 rxns for tech Rep)</t>
  </si>
  <si>
    <t>A) Aliqot out the Master Mixes, B) Aliqot DNA</t>
  </si>
  <si>
    <t>3) Aliqot out Tech Reps in Plate (Pipet out 20 ul from each individual experiement tube to three wells)</t>
  </si>
  <si>
    <t xml:space="preserve">Order of Events: </t>
  </si>
  <si>
    <t>1) Make 4 Master Mix Tubes (TRIM, STING, cGAS, CAT) of Water, F primer, R Primer and Master Mix</t>
  </si>
  <si>
    <t>Cat Indiv 1 RXNs</t>
  </si>
  <si>
    <t>Cat Indiv 2 RXNs</t>
  </si>
  <si>
    <t>Cat Indiv 3 RXNs</t>
  </si>
  <si>
    <t>Cat Indiv 4 RXNs</t>
  </si>
  <si>
    <t>Cat Indiv 5 RXNs</t>
  </si>
  <si>
    <t>Cat Indiv 6 RXNs</t>
  </si>
  <si>
    <t>Cat Indiv 7 RXNs</t>
  </si>
  <si>
    <t>Cat Indiv 8 RXNs</t>
  </si>
  <si>
    <t xml:space="preserve"> cGAS Indiv 1</t>
  </si>
  <si>
    <t xml:space="preserve"> cGAS Indiv 2</t>
  </si>
  <si>
    <t xml:space="preserve"> cGAS Indiv 3</t>
  </si>
  <si>
    <t xml:space="preserve"> cGAS Indiv 4</t>
  </si>
  <si>
    <t xml:space="preserve"> cGAS Indiv 5</t>
  </si>
  <si>
    <t xml:space="preserve"> cGAS Indiv 6</t>
  </si>
  <si>
    <t xml:space="preserve"> cGAS Indiv 7</t>
  </si>
  <si>
    <t xml:space="preserve"> cGAS Indiv 8</t>
  </si>
  <si>
    <t>STING Indiv 1</t>
  </si>
  <si>
    <t>STING Indiv 2</t>
  </si>
  <si>
    <t>STING Indiv 3</t>
  </si>
  <si>
    <t>STING Indiv 4</t>
  </si>
  <si>
    <t>STING Indiv 5</t>
  </si>
  <si>
    <t>Sting Indiv 6</t>
  </si>
  <si>
    <t>Sting Indiv 7</t>
  </si>
  <si>
    <t>Sting Indiv 8</t>
  </si>
  <si>
    <t>TRIM Indiv 1</t>
  </si>
  <si>
    <t>TRIM Indiv 2</t>
  </si>
  <si>
    <t>TRIM Indiv 3</t>
  </si>
  <si>
    <t>TRIM Indiv 4</t>
  </si>
  <si>
    <t>TRIM Indiv 5</t>
  </si>
  <si>
    <t>TRIM Indiv 6</t>
  </si>
  <si>
    <t>TRIM Indiv 7</t>
  </si>
  <si>
    <t>TRIM Indiv 8</t>
  </si>
  <si>
    <t>&lt;-- MM Total for group CAT</t>
  </si>
  <si>
    <t>&lt;-- MM Total for group cGAS</t>
  </si>
  <si>
    <t>&lt;-- MM Total for group STING</t>
  </si>
  <si>
    <t>&lt;-- MM Total for group TRIM</t>
  </si>
  <si>
    <t>DNA to Add to Exp Tube</t>
  </si>
  <si>
    <t>Group MM to add to Exp Tube</t>
  </si>
  <si>
    <r>
      <t xml:space="preserve">3 rxns in 1 Tube (1 tube per individual) = Technical Replicate --&gt; Pipet out </t>
    </r>
    <r>
      <rPr>
        <b/>
        <sz val="14"/>
        <color theme="1"/>
        <rFont val="Calibri"/>
        <family val="2"/>
        <scheme val="minor"/>
      </rPr>
      <t>20ul</t>
    </r>
    <r>
      <rPr>
        <sz val="14"/>
        <color theme="1"/>
        <rFont val="Calibri"/>
        <family val="2"/>
        <scheme val="minor"/>
      </rPr>
      <t xml:space="preserve"> to each well of rep (will have 32 tubes total - 8 tubes for each gene/primer)</t>
    </r>
  </si>
  <si>
    <t>NS TRIM Indiv 1 R1</t>
  </si>
  <si>
    <t>NS TRIM Indiv 1 R2</t>
  </si>
  <si>
    <t>NS TRIM Indiv 1 R3</t>
  </si>
  <si>
    <t>NS STING Indiv 1 R1</t>
  </si>
  <si>
    <t>NS STING Indiv 1 R2</t>
  </si>
  <si>
    <t>NS STING Indiv 1 R3</t>
  </si>
  <si>
    <t>NS cGAS Indiv 1 R1</t>
  </si>
  <si>
    <t>NS cGAS Indiv 1 R2</t>
  </si>
  <si>
    <t>NS cGAS Indiv 1 R3</t>
  </si>
  <si>
    <t>NS Indiv 1 CAT R1</t>
  </si>
  <si>
    <t>NS Indiv 1 CAT R2</t>
  </si>
  <si>
    <t>NS Indiv 1 CAT R3</t>
  </si>
  <si>
    <t>NS TRIM Indiv 2 R1</t>
  </si>
  <si>
    <t>NS TRIM Indiv 2 R2</t>
  </si>
  <si>
    <t>NS TRIM Indiv 2 R3</t>
  </si>
  <si>
    <t>NS STING Indiv 2 R1</t>
  </si>
  <si>
    <t>NS STING Indiv 2 R2</t>
  </si>
  <si>
    <t>NS STING Indiv 2 R3</t>
  </si>
  <si>
    <t>NS cGAS Indiv 2 R1</t>
  </si>
  <si>
    <t>NS cGAS Indiv 2 R2</t>
  </si>
  <si>
    <t>NS cGAS Indiv 2 R3</t>
  </si>
  <si>
    <t>NS Indiv 2 CAT R1</t>
  </si>
  <si>
    <t>NS Indiv 2 CAT R2</t>
  </si>
  <si>
    <t>NS Indiv 2 CAT R3</t>
  </si>
  <si>
    <t>NS TRIM Indiv 3 R1</t>
  </si>
  <si>
    <t>NS TRIM Indiv 3 R2</t>
  </si>
  <si>
    <t>NS TRIM Indiv 3 R3</t>
  </si>
  <si>
    <t>NS STING Indiv 3 R1</t>
  </si>
  <si>
    <t>NS STING Indiv 3 R2</t>
  </si>
  <si>
    <t>NS STING Indiv 3 R3</t>
  </si>
  <si>
    <t>NS cGAS Indiv 3 R1</t>
  </si>
  <si>
    <t>NS cGAS Indiv 3 R2</t>
  </si>
  <si>
    <t>NS cGAS Indiv 3 R3</t>
  </si>
  <si>
    <t>NS Indiv 3 CAT R1</t>
  </si>
  <si>
    <t>NS Indiv 3 CAT R2</t>
  </si>
  <si>
    <t>NS Indiv 3 CAT R3</t>
  </si>
  <si>
    <t>NS TRIM Indiv 4 R1</t>
  </si>
  <si>
    <t>NS TRIM Indiv 4 R2</t>
  </si>
  <si>
    <t>NS TRIM Indiv 4 R3</t>
  </si>
  <si>
    <t>NS STING Indiv 4 R1</t>
  </si>
  <si>
    <t>NS STING Indiv 4 R2</t>
  </si>
  <si>
    <t>NS STING Indiv 4 R3</t>
  </si>
  <si>
    <t>NS cGAS Indiv 4 R1</t>
  </si>
  <si>
    <t>NS cGAS Indiv 4 R2</t>
  </si>
  <si>
    <t>NS cGAS Indiv 4 R3</t>
  </si>
  <si>
    <t>NS Indiv 4 CAT R1</t>
  </si>
  <si>
    <t>NS Indiv 4 CAT R2</t>
  </si>
  <si>
    <t>NS Indiv 4 CAT R3</t>
  </si>
  <si>
    <t>NS TRIM Indiv 5 R1</t>
  </si>
  <si>
    <t>NS TRIM Indiv 5 R2</t>
  </si>
  <si>
    <t>NS TRIM Indiv 5 R3</t>
  </si>
  <si>
    <t>NS STING Indiv 5 R1</t>
  </si>
  <si>
    <t>NS STING Indiv 5 R2</t>
  </si>
  <si>
    <t>NS STING Indiv 5 R3</t>
  </si>
  <si>
    <t>NS cGAS Indiv 5 R1</t>
  </si>
  <si>
    <t>NS cGAS Indiv 5 R2</t>
  </si>
  <si>
    <t>NS cGAS Indiv 5 R3</t>
  </si>
  <si>
    <t>NS Indiv 5 CAT R1</t>
  </si>
  <si>
    <t>NS Indiv 5 CAT R2</t>
  </si>
  <si>
    <t>NS Indiv 5 CAT R3</t>
  </si>
  <si>
    <t>NS TRIM Indiv 6 R1</t>
  </si>
  <si>
    <t>NS TRIM Indiv 6 R2</t>
  </si>
  <si>
    <t>NS TRIM Indiv 6 R3</t>
  </si>
  <si>
    <t>NS STING Indiv 6 R1</t>
  </si>
  <si>
    <t>NS STING Indiv 6 R2</t>
  </si>
  <si>
    <t>NS STING Indiv 6 R3</t>
  </si>
  <si>
    <t>NS cGAS Indiv 6 R1</t>
  </si>
  <si>
    <t>NS cGAS Indiv 6 R2</t>
  </si>
  <si>
    <t>NS cGAS Indiv 6 R3</t>
  </si>
  <si>
    <t>NS Indiv 6 CAT R1</t>
  </si>
  <si>
    <t>NS Indiv 6 CAT R2</t>
  </si>
  <si>
    <t>NS Indiv 6 CAT R3</t>
  </si>
  <si>
    <t>NS TRIM Indiv 7 R1</t>
  </si>
  <si>
    <t>NS TRIM Indiv 7 R2</t>
  </si>
  <si>
    <t>NS TRIM Indiv 7 R3</t>
  </si>
  <si>
    <t>NS STING Indiv 7 R1</t>
  </si>
  <si>
    <t>NS STING Indiv 7 R2</t>
  </si>
  <si>
    <t>NS STING Indiv 7 R3</t>
  </si>
  <si>
    <t>NS cGAS Indiv 7 R1</t>
  </si>
  <si>
    <t>NS cGAS Indiv 7 R2</t>
  </si>
  <si>
    <t>NS cGAS Indiv 7 R3</t>
  </si>
  <si>
    <t>NS Indiv 7 CAT R1</t>
  </si>
  <si>
    <t>NS Indiv 7 CAT R2</t>
  </si>
  <si>
    <t>NS Indiv 7 CAT R3</t>
  </si>
  <si>
    <t>NS TRIM Indiv 8 R1</t>
  </si>
  <si>
    <t>NS TRIM Indiv 8 R2</t>
  </si>
  <si>
    <t>NS TRIM Indiv 8 R3</t>
  </si>
  <si>
    <t>NS STING Indiv 8 R1</t>
  </si>
  <si>
    <t>NS STING Indiv 8 R2</t>
  </si>
  <si>
    <t>NS STING Indiv 8 R3</t>
  </si>
  <si>
    <t>NS cGAS Indiv 8 R1</t>
  </si>
  <si>
    <t>NS cGAS Indiv 8 R2</t>
  </si>
  <si>
    <t>NS cGAS Indiv 8 R3</t>
  </si>
  <si>
    <t>NS Indiv 8 CAT R1</t>
  </si>
  <si>
    <t>NS Indiv 8 CAT R2</t>
  </si>
  <si>
    <t>NS Indiv 8 CAT R3</t>
  </si>
  <si>
    <t>ME TRIM Indiv 1 R1</t>
  </si>
  <si>
    <t>ME TRIM Indiv 1 R2</t>
  </si>
  <si>
    <t>ME TRIM Indiv 1 R3</t>
  </si>
  <si>
    <t>ME STING Indiv 1 R1</t>
  </si>
  <si>
    <t>ME STING Indiv 1 R2</t>
  </si>
  <si>
    <t>ME STING Indiv 1 R3</t>
  </si>
  <si>
    <t>ME cGAS Indiv 1 R1</t>
  </si>
  <si>
    <t>ME cGAS Indiv 1 R2</t>
  </si>
  <si>
    <t>ME cGAS Indiv 1 R3</t>
  </si>
  <si>
    <t>ME Indiv 1 CAT R1</t>
  </si>
  <si>
    <t>ME Indiv 1 CAT R2</t>
  </si>
  <si>
    <t>ME Indiv 1 CAT R3</t>
  </si>
  <si>
    <t>ME TRIM Indiv 2 R1</t>
  </si>
  <si>
    <t>ME TRIM Indiv 2 R2</t>
  </si>
  <si>
    <t>ME TRIM Indiv 2 R3</t>
  </si>
  <si>
    <t>ME STING Indiv 2 R1</t>
  </si>
  <si>
    <t>ME STING Indiv 2 R2</t>
  </si>
  <si>
    <t>ME STING Indiv 2 R3</t>
  </si>
  <si>
    <t>ME cGAS Indiv 2 R1</t>
  </si>
  <si>
    <t>ME cGAS Indiv 2 R2</t>
  </si>
  <si>
    <t>ME cGAS Indiv 2 R3</t>
  </si>
  <si>
    <t>ME Indiv 2 CAT R1</t>
  </si>
  <si>
    <t>ME Indiv 2 CAT R2</t>
  </si>
  <si>
    <t>ME Indiv 2 CAT R3</t>
  </si>
  <si>
    <t>ME TRIM Indiv 3 R1</t>
  </si>
  <si>
    <t>ME TRIM Indiv 3 R2</t>
  </si>
  <si>
    <t>ME TRIM Indiv 3 R3</t>
  </si>
  <si>
    <t>ME STING Indiv 3 R1</t>
  </si>
  <si>
    <t>ME STING Indiv 3 R2</t>
  </si>
  <si>
    <t>ME STING Indiv 3 R3</t>
  </si>
  <si>
    <t>ME cGAS Indiv 3 R1</t>
  </si>
  <si>
    <t>ME cGAS Indiv 3 R2</t>
  </si>
  <si>
    <t>ME cGAS Indiv 3 R3</t>
  </si>
  <si>
    <t>ME Indiv 3 CAT R1</t>
  </si>
  <si>
    <t>ME Indiv 3 CAT R2</t>
  </si>
  <si>
    <t>ME Indiv 3 CAT R3</t>
  </si>
  <si>
    <t>ME TRIM Indiv 4 R1</t>
  </si>
  <si>
    <t>ME TRIM Indiv 4 R2</t>
  </si>
  <si>
    <t>ME TRIM Indiv 4 R3</t>
  </si>
  <si>
    <t>ME STING Indiv 4 R1</t>
  </si>
  <si>
    <t>ME STING Indiv 4 R2</t>
  </si>
  <si>
    <t>ME STING Indiv 4 R3</t>
  </si>
  <si>
    <t>ME cGAS Indiv 4 R1</t>
  </si>
  <si>
    <t>ME cGAS Indiv 4 R2</t>
  </si>
  <si>
    <t>ME cGAS Indiv 4 R3</t>
  </si>
  <si>
    <t>ME Indiv 4 CAT R1</t>
  </si>
  <si>
    <t>ME Indiv 4 CAT R2</t>
  </si>
  <si>
    <t>ME Indiv 4 CAT R3</t>
  </si>
  <si>
    <t>ME TRIM Indiv 5 R1</t>
  </si>
  <si>
    <t>ME TRIM Indiv 5 R2</t>
  </si>
  <si>
    <t>ME TRIM Indiv 5 R3</t>
  </si>
  <si>
    <t>ME STING Indiv 5 R1</t>
  </si>
  <si>
    <t>ME STING Indiv 5 R2</t>
  </si>
  <si>
    <t>ME STING Indiv 5 R3</t>
  </si>
  <si>
    <t>ME cGAS Indiv 5 R1</t>
  </si>
  <si>
    <t>ME cGAS Indiv 5 R2</t>
  </si>
  <si>
    <t>ME cGAS Indiv 5 R3</t>
  </si>
  <si>
    <t>ME Indiv 5 CAT R1</t>
  </si>
  <si>
    <t>ME Indiv 5 CAT R2</t>
  </si>
  <si>
    <t>ME Indiv 5 CAT R3</t>
  </si>
  <si>
    <t>ME TRIM Indiv 6 R1</t>
  </si>
  <si>
    <t>ME TRIM Indiv 6 R2</t>
  </si>
  <si>
    <t>ME TRIM Indiv 6 R3</t>
  </si>
  <si>
    <t>ME STING Indiv 6 R1</t>
  </si>
  <si>
    <t>ME STING Indiv 6 R2</t>
  </si>
  <si>
    <t>ME STING Indiv 6 R3</t>
  </si>
  <si>
    <t>ME cGAS Indiv 6 R1</t>
  </si>
  <si>
    <t>ME cGAS Indiv 6 R2</t>
  </si>
  <si>
    <t>ME cGAS Indiv 6 R3</t>
  </si>
  <si>
    <t>ME Indiv 6 CAT R1</t>
  </si>
  <si>
    <t>ME Indiv 6 CAT R2</t>
  </si>
  <si>
    <t>ME Indiv 6 CAT R3</t>
  </si>
  <si>
    <t>ME TRIM Indiv 7 R1</t>
  </si>
  <si>
    <t>ME TRIM Indiv 7 R2</t>
  </si>
  <si>
    <t>ME TRIM Indiv 7 R3</t>
  </si>
  <si>
    <t>ME STING Indiv 7 R1</t>
  </si>
  <si>
    <t>ME STING Indiv 7 R2</t>
  </si>
  <si>
    <t>ME STING Indiv 7 R3</t>
  </si>
  <si>
    <t>ME cGAS Indiv 7 R1</t>
  </si>
  <si>
    <t>ME cGAS Indiv 7 R2</t>
  </si>
  <si>
    <t>ME cGAS Indiv 7 R3</t>
  </si>
  <si>
    <t>ME Indiv 7 CAT R1</t>
  </si>
  <si>
    <t>ME Indiv 7 CAT R2</t>
  </si>
  <si>
    <t>ME Indiv 7 CAT R3</t>
  </si>
  <si>
    <t>ME TRIM Indiv 8 R1</t>
  </si>
  <si>
    <t>ME TRIM Indiv 8 R2</t>
  </si>
  <si>
    <t>ME TRIM Indiv 8 R3</t>
  </si>
  <si>
    <t>ME STING Indiv 8 R1</t>
  </si>
  <si>
    <t>ME STING Indiv 8 R2</t>
  </si>
  <si>
    <t>ME STING Indiv 8 R3</t>
  </si>
  <si>
    <t>ME cGAS Indiv 8 R1</t>
  </si>
  <si>
    <t>ME cGAS Indiv 8 R2</t>
  </si>
  <si>
    <t>ME cGAS Indiv 8 R3</t>
  </si>
  <si>
    <t>ME Indiv 8 CAT R1</t>
  </si>
  <si>
    <t>ME Indiv 8 CAT R2</t>
  </si>
  <si>
    <t>ME Indiv 8 CAT R3</t>
  </si>
  <si>
    <t>NC TRIM Indiv 1 R1</t>
  </si>
  <si>
    <t>NC TRIM Indiv 1 R2</t>
  </si>
  <si>
    <t>NC TRIM Indiv 1 R3</t>
  </si>
  <si>
    <t>NC STING Indiv 1 R1</t>
  </si>
  <si>
    <t>NC STING Indiv 1 R2</t>
  </si>
  <si>
    <t>NC STING Indiv 1 R3</t>
  </si>
  <si>
    <t>NC cGAS Indiv 1 R1</t>
  </si>
  <si>
    <t>NC cGAS Indiv 1 R2</t>
  </si>
  <si>
    <t>NC cGAS Indiv 1 R3</t>
  </si>
  <si>
    <t>NC Indiv 1 CAT R1</t>
  </si>
  <si>
    <t>NC Indiv 1 CAT R2</t>
  </si>
  <si>
    <t>NC Indiv 1 CAT R3</t>
  </si>
  <si>
    <t>NC TRIM Indiv 2 R1</t>
  </si>
  <si>
    <t>NC TRIM Indiv 2 R2</t>
  </si>
  <si>
    <t>NC TRIM Indiv 2 R3</t>
  </si>
  <si>
    <t>NC STING Indiv 2 R1</t>
  </si>
  <si>
    <t>NC STING Indiv 2 R2</t>
  </si>
  <si>
    <t>NC STING Indiv 2 R3</t>
  </si>
  <si>
    <t>NC cGAS Indiv 2 R1</t>
  </si>
  <si>
    <t>NC cGAS Indiv 2 R2</t>
  </si>
  <si>
    <t>NC cGAS Indiv 2 R3</t>
  </si>
  <si>
    <t>NC Indiv 2 CAT R1</t>
  </si>
  <si>
    <t>NC Indiv 2 CAT R2</t>
  </si>
  <si>
    <t>NC Indiv 2 CAT R3</t>
  </si>
  <si>
    <t>NC TRIM Indiv 3 R1</t>
  </si>
  <si>
    <t>NC TRIM Indiv 3 R2</t>
  </si>
  <si>
    <t>NC TRIM Indiv 3 R3</t>
  </si>
  <si>
    <t>NC STING Indiv 3 R1</t>
  </si>
  <si>
    <t>NC STING Indiv 3 R2</t>
  </si>
  <si>
    <t>NC STING Indiv 3 R3</t>
  </si>
  <si>
    <t>NC cGAS Indiv 3 R1</t>
  </si>
  <si>
    <t>NC cGAS Indiv 3 R2</t>
  </si>
  <si>
    <t>NC cGAS Indiv 3 R3</t>
  </si>
  <si>
    <t>NC Indiv 3 CAT R1</t>
  </si>
  <si>
    <t>NC Indiv 3 CAT R2</t>
  </si>
  <si>
    <t>NC Indiv 3 CAT R3</t>
  </si>
  <si>
    <t>NC TRIM Indiv 4 R1</t>
  </si>
  <si>
    <t>NC TRIM Indiv 4 R2</t>
  </si>
  <si>
    <t>NC TRIM Indiv 4 R3</t>
  </si>
  <si>
    <t>NC STING Indiv 4 R1</t>
  </si>
  <si>
    <t>NC STING Indiv 4 R2</t>
  </si>
  <si>
    <t>NC STING Indiv 4 R3</t>
  </si>
  <si>
    <t>NC cGAS Indiv 4 R1</t>
  </si>
  <si>
    <t>NC cGAS Indiv 4 R2</t>
  </si>
  <si>
    <t>NC cGAS Indiv 4 R3</t>
  </si>
  <si>
    <t>NC Indiv 4 CAT R1</t>
  </si>
  <si>
    <t>NC Indiv 4 CAT R2</t>
  </si>
  <si>
    <t>NC Indiv 4 CAT R3</t>
  </si>
  <si>
    <t>NC TRIM Indiv 5 R1</t>
  </si>
  <si>
    <t>NC TRIM Indiv 5 R2</t>
  </si>
  <si>
    <t>NC TRIM Indiv 5 R3</t>
  </si>
  <si>
    <t>NC STING Indiv 5 R1</t>
  </si>
  <si>
    <t>NC STING Indiv 5 R2</t>
  </si>
  <si>
    <t>NC STING Indiv 5 R3</t>
  </si>
  <si>
    <t>NC cGAS Indiv 5 R1</t>
  </si>
  <si>
    <t>NC cGAS Indiv 5 R2</t>
  </si>
  <si>
    <t>NC cGAS Indiv 5 R3</t>
  </si>
  <si>
    <t>NC Indiv 5 CAT R1</t>
  </si>
  <si>
    <t>NC Indiv 5 CAT R2</t>
  </si>
  <si>
    <t>NC Indiv 5 CAT R3</t>
  </si>
  <si>
    <t>NC TRIM Indiv 6 R1</t>
  </si>
  <si>
    <t>NC TRIM Indiv 6 R2</t>
  </si>
  <si>
    <t>NC TRIM Indiv 6 R3</t>
  </si>
  <si>
    <t>NC STING Indiv 6 R1</t>
  </si>
  <si>
    <t>NC STING Indiv 6 R2</t>
  </si>
  <si>
    <t>NC STING Indiv 6 R3</t>
  </si>
  <si>
    <t>NC cGAS Indiv 6 R1</t>
  </si>
  <si>
    <t>NC cGAS Indiv 6 R2</t>
  </si>
  <si>
    <t>NC cGAS Indiv 6 R3</t>
  </si>
  <si>
    <t>NC Indiv 6 CAT R1</t>
  </si>
  <si>
    <t>NC Indiv 6 CAT R2</t>
  </si>
  <si>
    <t>NC Indiv 6 CAT R3</t>
  </si>
  <si>
    <t>NC TRIM Indiv 7 R1</t>
  </si>
  <si>
    <t>NC TRIM Indiv 7 R2</t>
  </si>
  <si>
    <t>NC TRIM Indiv 7 R3</t>
  </si>
  <si>
    <t>NC STING Indiv 7 R1</t>
  </si>
  <si>
    <t>NC STING Indiv 7 R2</t>
  </si>
  <si>
    <t>NC STING Indiv 7 R3</t>
  </si>
  <si>
    <t>NC cGAS Indiv 7 R1</t>
  </si>
  <si>
    <t>NC cGAS Indiv 7 R2</t>
  </si>
  <si>
    <t>NC cGAS Indiv 7 R3</t>
  </si>
  <si>
    <t>NC Indiv 7 CAT R1</t>
  </si>
  <si>
    <t>NC Indiv 7 CAT R2</t>
  </si>
  <si>
    <t>NC Indiv 7 CAT R3</t>
  </si>
  <si>
    <t>NC TRIM Indiv 8 R1</t>
  </si>
  <si>
    <t>NC TRIM Indiv 8 R2</t>
  </si>
  <si>
    <t>NC TRIM Indiv 8 R3</t>
  </si>
  <si>
    <t>NC STING Indiv 8 R1</t>
  </si>
  <si>
    <t>NC STING Indiv 8 R2</t>
  </si>
  <si>
    <t>NC STING Indiv 8 R3</t>
  </si>
  <si>
    <t>NC cGAS Indiv 8 R1</t>
  </si>
  <si>
    <t>NC cGAS Indiv 8 R2</t>
  </si>
  <si>
    <t>NC cGAS Indiv 8 R3</t>
  </si>
  <si>
    <t>NC Indiv 8 CAT R1</t>
  </si>
  <si>
    <t>NC Indiv 8 CAT R2</t>
  </si>
  <si>
    <t>NC Indiv 8 CAT R3</t>
  </si>
  <si>
    <t>File Name: Immunity_qPCR_NS</t>
  </si>
  <si>
    <t>File Name: Immunity_qPCR_ME</t>
  </si>
  <si>
    <t>File Name: Immunity_qPCR_NC</t>
  </si>
  <si>
    <r>
      <rPr>
        <b/>
        <sz val="22"/>
        <color theme="1"/>
        <rFont val="Calibri"/>
        <family val="2"/>
        <scheme val="minor"/>
      </rPr>
      <t>Date:</t>
    </r>
    <r>
      <rPr>
        <sz val="22"/>
        <color theme="1"/>
        <rFont val="Calibri"/>
        <family val="2"/>
        <scheme val="minor"/>
      </rPr>
      <t xml:space="preserve"> 11/6/23</t>
    </r>
  </si>
  <si>
    <t>File Name: Immunity_qPCR_NH (OD)</t>
  </si>
  <si>
    <t>NH (OD) TRIM Indiv 1 R1</t>
  </si>
  <si>
    <t>NH (OD) TRIM Indiv 1 R2</t>
  </si>
  <si>
    <t>NH (OD) TRIM Indiv 1 R3</t>
  </si>
  <si>
    <t>NH (OD) STING Indiv 1 R1</t>
  </si>
  <si>
    <t>NH (OD) STING Indiv 1 R2</t>
  </si>
  <si>
    <t>NH (OD) STING Indiv 1 R3</t>
  </si>
  <si>
    <t>NH (OD) cGAS Indiv 1 R1</t>
  </si>
  <si>
    <t>NH (OD) cGAS Indiv 1 R2</t>
  </si>
  <si>
    <t>NH (OD) cGAS Indiv 1 R3</t>
  </si>
  <si>
    <t>NH (OD) Indiv 1 CAT R1</t>
  </si>
  <si>
    <t>NH (OD) Indiv 1 CAT R2</t>
  </si>
  <si>
    <t>NH (OD) Indiv 1 CAT R3</t>
  </si>
  <si>
    <t>NH (OD) TRIM Indiv 2 R1</t>
  </si>
  <si>
    <t>NH (OD) TRIM Indiv 2 R2</t>
  </si>
  <si>
    <t>NH (OD) TRIM Indiv 2 R3</t>
  </si>
  <si>
    <t>NH (OD) STING Indiv 2 R1</t>
  </si>
  <si>
    <t>NH (OD) STING Indiv 2 R2</t>
  </si>
  <si>
    <t>NH (OD) STING Indiv 2 R3</t>
  </si>
  <si>
    <t>NH (OD) cGAS Indiv 2 R1</t>
  </si>
  <si>
    <t>NH (OD) cGAS Indiv 2 R2</t>
  </si>
  <si>
    <t>NH (OD) cGAS Indiv 2 R3</t>
  </si>
  <si>
    <t>NH (OD) Indiv 2 CAT R1</t>
  </si>
  <si>
    <t>NH (OD) Indiv 2 CAT R2</t>
  </si>
  <si>
    <t>NH (OD) Indiv 2 CAT R3</t>
  </si>
  <si>
    <t>NH (OD) TRIM Indiv 3 R1</t>
  </si>
  <si>
    <t>NH (OD) TRIM Indiv 3 R2</t>
  </si>
  <si>
    <t>NH (OD) TRIM Indiv 3 R3</t>
  </si>
  <si>
    <t>NH (OD) STING Indiv 3 R1</t>
  </si>
  <si>
    <t>NH (OD) STING Indiv 3 R2</t>
  </si>
  <si>
    <t>NH (OD) STING Indiv 3 R3</t>
  </si>
  <si>
    <t>NH (OD) cGAS Indiv 3 R1</t>
  </si>
  <si>
    <t>NH (OD) cGAS Indiv 3 R2</t>
  </si>
  <si>
    <t>NH (OD) cGAS Indiv 3 R3</t>
  </si>
  <si>
    <t>NH (OD) Indiv 3 CAT R1</t>
  </si>
  <si>
    <t>NH (OD) Indiv 3 CAT R2</t>
  </si>
  <si>
    <t>NH (OD) Indiv 3 CAT R3</t>
  </si>
  <si>
    <t>NH (OD) TRIM Indiv 4 R1</t>
  </si>
  <si>
    <t>NH (OD) TRIM Indiv 4 R2</t>
  </si>
  <si>
    <t>NH (OD) TRIM Indiv 4 R3</t>
  </si>
  <si>
    <t>NH (OD) STING Indiv 4 R1</t>
  </si>
  <si>
    <t>NH (OD) STING Indiv 4 R2</t>
  </si>
  <si>
    <t>NH (OD) STING Indiv 4 R3</t>
  </si>
  <si>
    <t>NH (OD) cGAS Indiv 4 R1</t>
  </si>
  <si>
    <t>NH (OD) cGAS Indiv 4 R2</t>
  </si>
  <si>
    <t>NH (OD) cGAS Indiv 4 R3</t>
  </si>
  <si>
    <t>NH (OD) Indiv 4 CAT R1</t>
  </si>
  <si>
    <t>NH (OD) Indiv 4 CAT R2</t>
  </si>
  <si>
    <t>NH (OD) Indiv 4 CAT R3</t>
  </si>
  <si>
    <t>NH (OD) TRIM Indiv 5 R1</t>
  </si>
  <si>
    <t>NH (OD) TRIM Indiv 5 R2</t>
  </si>
  <si>
    <t>NH (OD) TRIM Indiv 5 R3</t>
  </si>
  <si>
    <t>NH (OD) STING Indiv 5 R1</t>
  </si>
  <si>
    <t>NH (OD) STING Indiv 5 R2</t>
  </si>
  <si>
    <t>NH (OD) STING Indiv 5 R3</t>
  </si>
  <si>
    <t>NH (OD) cGAS Indiv 5 R1</t>
  </si>
  <si>
    <t>NH (OD) cGAS Indiv 5 R2</t>
  </si>
  <si>
    <t>NH (OD) cGAS Indiv 5 R3</t>
  </si>
  <si>
    <t>NH (OD) Indiv 5 CAT R1</t>
  </si>
  <si>
    <t>NH (OD) Indiv 5 CAT R2</t>
  </si>
  <si>
    <t>NH (OD) Indiv 5 CAT R3</t>
  </si>
  <si>
    <t>NH (OD) TRIM Indiv 6 R1</t>
  </si>
  <si>
    <t>NH (OD) TRIM Indiv 6 R2</t>
  </si>
  <si>
    <t>NH (OD) TRIM Indiv 6 R3</t>
  </si>
  <si>
    <t>NH (OD) STING Indiv 6 R1</t>
  </si>
  <si>
    <t>NH (OD) STING Indiv 6 R2</t>
  </si>
  <si>
    <t>NH (OD) STING Indiv 6 R3</t>
  </si>
  <si>
    <t>NH (OD) cGAS Indiv 6 R1</t>
  </si>
  <si>
    <t>NH (OD) cGAS Indiv 6 R2</t>
  </si>
  <si>
    <t>NH (OD) cGAS Indiv 6 R3</t>
  </si>
  <si>
    <t>NH (OD) Indiv 6 CAT R1</t>
  </si>
  <si>
    <t>NH (OD) Indiv 6 CAT R2</t>
  </si>
  <si>
    <t>NH (OD) Indiv 6 CAT R3</t>
  </si>
  <si>
    <t>NH (OD) TRIM Indiv 7 R1</t>
  </si>
  <si>
    <t>NH (OD) TRIM Indiv 7 R2</t>
  </si>
  <si>
    <t>NH (OD) TRIM Indiv 7 R3</t>
  </si>
  <si>
    <t>NH (OD) STING Indiv 7 R1</t>
  </si>
  <si>
    <t>NH (OD) STING Indiv 7 R2</t>
  </si>
  <si>
    <t>NH (OD) STING Indiv 7 R3</t>
  </si>
  <si>
    <t>NH (OD) cGAS Indiv 7 R1</t>
  </si>
  <si>
    <t>NH (OD) cGAS Indiv 7 R2</t>
  </si>
  <si>
    <t>NH (OD) cGAS Indiv 7 R3</t>
  </si>
  <si>
    <t>NH (OD) Indiv 7 CAT R1</t>
  </si>
  <si>
    <t>NH (OD) Indiv 7 CAT R2</t>
  </si>
  <si>
    <t>NH (OD) Indiv 7 CAT R3</t>
  </si>
  <si>
    <t>NH (OD) TRIM Indiv 8 R1</t>
  </si>
  <si>
    <t>NH (OD) TRIM Indiv 8 R2</t>
  </si>
  <si>
    <t>NH (OD) TRIM Indiv 8 R3</t>
  </si>
  <si>
    <t>NH (OD) STING Indiv 8 R1</t>
  </si>
  <si>
    <t>NH (OD) STING Indiv 8 R2</t>
  </si>
  <si>
    <t>NH (OD) STING Indiv 8 R3</t>
  </si>
  <si>
    <t>NH (OD) cGAS Indiv 8 R1</t>
  </si>
  <si>
    <t>NH (OD) cGAS Indiv 8 R2</t>
  </si>
  <si>
    <t>NH (OD) cGAS Indiv 8 R3</t>
  </si>
  <si>
    <t>NH (OD) Indiv 8 CAT R1</t>
  </si>
  <si>
    <t>NH (OD) Indiv 8 CAT R2</t>
  </si>
  <si>
    <t>NH (OD) Indiv 8 CAT R3</t>
  </si>
  <si>
    <t>File Name: Immunity_qPCR_MA</t>
  </si>
  <si>
    <t>MA TRIM Indiv 1 R1</t>
  </si>
  <si>
    <t>MA TRIM Indiv 1 R2</t>
  </si>
  <si>
    <t>MA TRIM Indiv 1 R3</t>
  </si>
  <si>
    <t>MA STING Indiv 1 R1</t>
  </si>
  <si>
    <t>MA STING Indiv 1 R2</t>
  </si>
  <si>
    <t>MA STING Indiv 1 R3</t>
  </si>
  <si>
    <t>MA cGAS Indiv 1 R1</t>
  </si>
  <si>
    <t>MA cGAS Indiv 1 R2</t>
  </si>
  <si>
    <t>MA cGAS Indiv 1 R3</t>
  </si>
  <si>
    <t>MA Indiv 1 CAT R1</t>
  </si>
  <si>
    <t>MA Indiv 1 CAT R2</t>
  </si>
  <si>
    <t>MA Indiv 1 CAT R3</t>
  </si>
  <si>
    <t>MA TRIM Indiv 2 R1</t>
  </si>
  <si>
    <t>MA TRIM Indiv 2 R2</t>
  </si>
  <si>
    <t>MA TRIM Indiv 2 R3</t>
  </si>
  <si>
    <t>MA STING Indiv 2 R1</t>
  </si>
  <si>
    <t>MA STING Indiv 2 R2</t>
  </si>
  <si>
    <t>MA STING Indiv 2 R3</t>
  </si>
  <si>
    <t>MA cGAS Indiv 2 R1</t>
  </si>
  <si>
    <t>MA cGAS Indiv 2 R2</t>
  </si>
  <si>
    <t>MA cGAS Indiv 2 R3</t>
  </si>
  <si>
    <t>MA Indiv 2 CAT R1</t>
  </si>
  <si>
    <t>MA Indiv 2 CAT R2</t>
  </si>
  <si>
    <t>MA Indiv 2 CAT R3</t>
  </si>
  <si>
    <t>MA TRIM Indiv 3 R1</t>
  </si>
  <si>
    <t>MA TRIM Indiv 3 R2</t>
  </si>
  <si>
    <t>MA TRIM Indiv 3 R3</t>
  </si>
  <si>
    <t>MA STING Indiv 3 R1</t>
  </si>
  <si>
    <t>MA STING Indiv 3 R2</t>
  </si>
  <si>
    <t>MA STING Indiv 3 R3</t>
  </si>
  <si>
    <t>MA cGAS Indiv 3 R1</t>
  </si>
  <si>
    <t>MA cGAS Indiv 3 R2</t>
  </si>
  <si>
    <t>MA cGAS Indiv 3 R3</t>
  </si>
  <si>
    <t>MA Indiv 3 CAT R1</t>
  </si>
  <si>
    <t>MA Indiv 3 CAT R2</t>
  </si>
  <si>
    <t>MA Indiv 3 CAT R3</t>
  </si>
  <si>
    <t>MA TRIM Indiv 4 R1</t>
  </si>
  <si>
    <t>MA TRIM Indiv 4 R2</t>
  </si>
  <si>
    <t>MA TRIM Indiv 4 R3</t>
  </si>
  <si>
    <t>MA STING Indiv 4 R1</t>
  </si>
  <si>
    <t>MA STING Indiv 4 R2</t>
  </si>
  <si>
    <t>MA STING Indiv 4 R3</t>
  </si>
  <si>
    <t>MA cGAS Indiv 4 R1</t>
  </si>
  <si>
    <t>MA cGAS Indiv 4 R2</t>
  </si>
  <si>
    <t>MA cGAS Indiv 4 R3</t>
  </si>
  <si>
    <t>MA Indiv 4 CAT R1</t>
  </si>
  <si>
    <t>MA Indiv 4 CAT R2</t>
  </si>
  <si>
    <t>MA Indiv 4 CAT R3</t>
  </si>
  <si>
    <t>MA TRIM Indiv 5 R1</t>
  </si>
  <si>
    <t>MA TRIM Indiv 5 R2</t>
  </si>
  <si>
    <t>MA TRIM Indiv 5 R3</t>
  </si>
  <si>
    <t>MA STING Indiv 5 R1</t>
  </si>
  <si>
    <t>MA STING Indiv 5 R2</t>
  </si>
  <si>
    <t>MA STING Indiv 5 R3</t>
  </si>
  <si>
    <t>MA cGAS Indiv 5 R1</t>
  </si>
  <si>
    <t>MA cGAS Indiv 5 R2</t>
  </si>
  <si>
    <t>MA cGAS Indiv 5 R3</t>
  </si>
  <si>
    <t>MA Indiv 5 CAT R1</t>
  </si>
  <si>
    <t>MA Indiv 5 CAT R2</t>
  </si>
  <si>
    <t>MA Indiv 5 CAT R3</t>
  </si>
  <si>
    <t>MA TRIM Indiv 6 R1</t>
  </si>
  <si>
    <t>MA TRIM Indiv 6 R2</t>
  </si>
  <si>
    <t>MA TRIM Indiv 6 R3</t>
  </si>
  <si>
    <t>MA STING Indiv 6 R1</t>
  </si>
  <si>
    <t>MA STING Indiv 6 R2</t>
  </si>
  <si>
    <t>MA STING Indiv 6 R3</t>
  </si>
  <si>
    <t>MA cGAS Indiv 6 R1</t>
  </si>
  <si>
    <t>MA cGAS Indiv 6 R2</t>
  </si>
  <si>
    <t>MA cGAS Indiv 6 R3</t>
  </si>
  <si>
    <t>MA Indiv 6 CAT R1</t>
  </si>
  <si>
    <t>MA Indiv 6 CAT R2</t>
  </si>
  <si>
    <t>MA Indiv 6 CAT R3</t>
  </si>
  <si>
    <t>MA TRIM Indiv 7 R1</t>
  </si>
  <si>
    <t>MA TRIM Indiv 7 R2</t>
  </si>
  <si>
    <t>MA TRIM Indiv 7 R3</t>
  </si>
  <si>
    <t>MA STING Indiv 7 R1</t>
  </si>
  <si>
    <t>MA STING Indiv 7 R2</t>
  </si>
  <si>
    <t>MA STING Indiv 7 R3</t>
  </si>
  <si>
    <t>MA cGAS Indiv 7 R1</t>
  </si>
  <si>
    <t>MA cGAS Indiv 7 R2</t>
  </si>
  <si>
    <t>MA cGAS Indiv 7 R3</t>
  </si>
  <si>
    <t>MA Indiv 7 CAT R1</t>
  </si>
  <si>
    <t>MA Indiv 7 CAT R2</t>
  </si>
  <si>
    <t>MA Indiv 7 CAT R3</t>
  </si>
  <si>
    <t>MA TRIM Indiv 8 R1</t>
  </si>
  <si>
    <t>MA TRIM Indiv 8 R2</t>
  </si>
  <si>
    <t>MA TRIM Indiv 8 R3</t>
  </si>
  <si>
    <t>MA STING Indiv 8 R1</t>
  </si>
  <si>
    <t>MA STING Indiv 8 R2</t>
  </si>
  <si>
    <t>MA STING Indiv 8 R3</t>
  </si>
  <si>
    <t>MA cGAS Indiv 8 R1</t>
  </si>
  <si>
    <t>MA cGAS Indiv 8 R2</t>
  </si>
  <si>
    <t>MA cGAS Indiv 8 R3</t>
  </si>
  <si>
    <t>MA Indiv 8 CAT R1</t>
  </si>
  <si>
    <t>MA Indiv 8 CAT R2</t>
  </si>
  <si>
    <t>MA Indiv 8 CAT R3</t>
  </si>
  <si>
    <t>NOTE:</t>
  </si>
  <si>
    <t>Using March 2016 DNA</t>
  </si>
  <si>
    <r>
      <rPr>
        <b/>
        <sz val="22"/>
        <color theme="1"/>
        <rFont val="Calibri"/>
        <family val="2"/>
        <scheme val="minor"/>
      </rPr>
      <t>Date:</t>
    </r>
    <r>
      <rPr>
        <sz val="22"/>
        <color theme="1"/>
        <rFont val="Calibri"/>
        <family val="2"/>
        <scheme val="minor"/>
      </rPr>
      <t xml:space="preserve"> 11/7/23</t>
    </r>
  </si>
  <si>
    <t>Using March 2016 DNA, indiv 1 ran out of dna in tube so used indv 9</t>
  </si>
  <si>
    <t>Using March 2016 DNA, indiv 1 ran out of dna in tube so used indv 10</t>
  </si>
  <si>
    <r>
      <rPr>
        <b/>
        <sz val="22"/>
        <color theme="1"/>
        <rFont val="Calibri"/>
        <family val="2"/>
        <scheme val="minor"/>
      </rPr>
      <t>Date:</t>
    </r>
    <r>
      <rPr>
        <sz val="22"/>
        <color theme="1"/>
        <rFont val="Calibri"/>
        <family val="2"/>
        <scheme val="minor"/>
      </rPr>
      <t xml:space="preserve"> 11/8/23</t>
    </r>
  </si>
  <si>
    <r>
      <rPr>
        <b/>
        <sz val="22"/>
        <color theme="1"/>
        <rFont val="Calibri"/>
        <family val="2"/>
        <scheme val="minor"/>
      </rPr>
      <t>Date:</t>
    </r>
    <r>
      <rPr>
        <sz val="22"/>
        <color theme="1"/>
        <rFont val="Calibri"/>
        <family val="2"/>
        <scheme val="minor"/>
      </rPr>
      <t xml:space="preserve"> 11/9/23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</si>
</sst>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 (Body)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B5C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D0BBE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</cellStyleXfs>
  <cellXfs count="65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5" borderId="1" xfId="4" applyFont="1" applyBorder="1" applyAlignment="1">
      <alignment horizontal="center" vertical="center"/>
    </xf>
    <xf numFmtId="0" fontId="4" fillId="7" borderId="1" xfId="6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4" fillId="10" borderId="1" xfId="9" applyFont="1" applyBorder="1" applyAlignment="1">
      <alignment horizontal="center" vertical="center"/>
    </xf>
    <xf numFmtId="0" fontId="4" fillId="6" borderId="1" xfId="5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4" borderId="1" xfId="3" applyFont="1" applyBorder="1" applyAlignment="1">
      <alignment horizontal="center" vertical="center"/>
    </xf>
    <xf numFmtId="0" fontId="4" fillId="9" borderId="1" xfId="8" applyFont="1" applyBorder="1" applyAlignment="1">
      <alignment horizontal="center" vertical="center"/>
    </xf>
    <xf numFmtId="0" fontId="4" fillId="11" borderId="1" xfId="10" applyFont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4" fillId="0" borderId="0" xfId="0" applyNumberFormat="1" applyFont="1"/>
    <xf numFmtId="2" fontId="4" fillId="0" borderId="8" xfId="0" applyNumberFormat="1" applyFont="1" applyBorder="1"/>
    <xf numFmtId="2" fontId="4" fillId="0" borderId="3" xfId="0" applyNumberFormat="1" applyFont="1" applyBorder="1"/>
    <xf numFmtId="2" fontId="4" fillId="0" borderId="6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2" xfId="0" applyNumberFormat="1" applyFont="1" applyBorder="1"/>
    <xf numFmtId="2" fontId="4" fillId="0" borderId="8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4" fillId="12" borderId="10" xfId="0" applyNumberFormat="1" applyFont="1" applyFill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9" xfId="0" applyNumberFormat="1" applyFont="1" applyBorder="1"/>
    <xf numFmtId="2" fontId="11" fillId="12" borderId="10" xfId="0" applyNumberFormat="1" applyFont="1" applyFill="1" applyBorder="1"/>
    <xf numFmtId="2" fontId="4" fillId="0" borderId="0" xfId="0" applyNumberFormat="1" applyFont="1" applyAlignment="1">
      <alignment horizontal="center" vertical="center" wrapText="1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4" xfId="0" applyNumberFormat="1" applyFont="1" applyBorder="1"/>
    <xf numFmtId="2" fontId="4" fillId="5" borderId="1" xfId="4" applyNumberFormat="1" applyFont="1" applyBorder="1" applyAlignment="1">
      <alignment horizontal="center" vertical="center"/>
    </xf>
    <xf numFmtId="2" fontId="4" fillId="2" borderId="5" xfId="1" applyNumberFormat="1" applyFont="1" applyBorder="1" applyAlignment="1">
      <alignment horizontal="center"/>
    </xf>
    <xf numFmtId="2" fontId="4" fillId="8" borderId="5" xfId="7" applyNumberFormat="1" applyFont="1" applyBorder="1" applyAlignment="1">
      <alignment horizontal="center"/>
    </xf>
    <xf numFmtId="2" fontId="4" fillId="2" borderId="4" xfId="1" applyNumberFormat="1" applyFont="1" applyBorder="1" applyAlignment="1">
      <alignment horizontal="center"/>
    </xf>
    <xf numFmtId="2" fontId="4" fillId="8" borderId="4" xfId="7" applyNumberFormat="1" applyFont="1" applyBorder="1" applyAlignment="1">
      <alignment horizontal="center"/>
    </xf>
    <xf numFmtId="2" fontId="4" fillId="9" borderId="1" xfId="8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2" fontId="4" fillId="2" borderId="14" xfId="1" applyNumberFormat="1" applyFont="1" applyBorder="1" applyAlignment="1">
      <alignment horizontal="center"/>
    </xf>
    <xf numFmtId="2" fontId="4" fillId="8" borderId="14" xfId="7" applyNumberFormat="1" applyFont="1" applyBorder="1" applyAlignment="1">
      <alignment horizontal="center"/>
    </xf>
    <xf numFmtId="2" fontId="4" fillId="2" borderId="1" xfId="1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4" fillId="13" borderId="1" xfId="11" applyFont="1" applyBorder="1" applyAlignment="1">
      <alignment horizontal="center" vertical="center"/>
    </xf>
    <xf numFmtId="0" fontId="4" fillId="14" borderId="1" xfId="12" applyFont="1" applyBorder="1" applyAlignment="1">
      <alignment horizontal="center" vertical="center"/>
    </xf>
    <xf numFmtId="0" fontId="4" fillId="15" borderId="1" xfId="13" applyFont="1" applyBorder="1" applyAlignment="1">
      <alignment horizontal="center" vertical="center"/>
    </xf>
    <xf numFmtId="2" fontId="4" fillId="0" borderId="0" xfId="0" applyNumberFormat="1" applyFont="1" applyAlignment="1">
      <alignment horizontal="left"/>
    </xf>
    <xf numFmtId="0" fontId="12" fillId="0" borderId="0" xfId="0" applyFont="1"/>
    <xf numFmtId="2" fontId="4" fillId="16" borderId="15" xfId="0" applyNumberFormat="1" applyFont="1" applyFill="1" applyBorder="1" applyAlignment="1">
      <alignment horizontal="center"/>
    </xf>
    <xf numFmtId="2" fontId="4" fillId="16" borderId="16" xfId="0" applyNumberFormat="1" applyFont="1" applyFill="1" applyBorder="1" applyAlignment="1">
      <alignment horizontal="center"/>
    </xf>
    <xf numFmtId="2" fontId="4" fillId="16" borderId="17" xfId="0" applyNumberFormat="1" applyFont="1" applyFill="1" applyBorder="1" applyAlignment="1">
      <alignment horizontal="center"/>
    </xf>
    <xf numFmtId="2" fontId="14" fillId="0" borderId="0" xfId="0" applyNumberFormat="1" applyFont="1" applyAlignment="1">
      <alignment horizontal="left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4">
    <cellStyle name="20% - Accent1" xfId="11" builtinId="30"/>
    <cellStyle name="20% - Accent2" xfId="1" builtinId="34"/>
    <cellStyle name="20% - Accent4" xfId="4" builtinId="42"/>
    <cellStyle name="20% - Accent5" xfId="7" builtinId="46"/>
    <cellStyle name="20% - Accent6" xfId="8" builtinId="50"/>
    <cellStyle name="40% - Accent1" xfId="12" builtinId="31"/>
    <cellStyle name="40% - Accent2" xfId="2" builtinId="35"/>
    <cellStyle name="40% - Accent4" xfId="5" builtinId="43"/>
    <cellStyle name="40% - Accent6" xfId="9" builtinId="51"/>
    <cellStyle name="60% - Accent1" xfId="13" builtinId="32"/>
    <cellStyle name="60% - Accent2" xfId="3" builtinId="36"/>
    <cellStyle name="60% - Accent4" xfId="6" builtinId="44"/>
    <cellStyle name="60% - Accent6" xfId="10" builtinId="52"/>
    <cellStyle name="Normal" xfId="0" builtinId="0"/>
  </cellStyles>
  <dxfs count="0"/>
  <tableStyles count="0" defaultTableStyle="TableStyleMedium2" defaultPivotStyle="PivotStyleLight16"/>
  <colors>
    <mruColors>
      <color rgb="FFD0BBE0"/>
      <color rgb="FFB09EBD"/>
      <color rgb="FFC3AFD2"/>
      <color rgb="FFE6CEF9"/>
      <color rgb="FFD5B3FA"/>
      <color rgb="FFC7A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B455-AA36-6348-8DDD-6EE06294B85A}">
  <sheetPr>
    <pageSetUpPr fitToPage="1"/>
  </sheetPr>
  <dimension ref="A1:T64"/>
  <sheetViews>
    <sheetView zoomScale="90" zoomScaleNormal="90" workbookViewId="0">
      <selection activeCell="Q17" sqref="Q17"/>
    </sheetView>
  </sheetViews>
  <sheetFormatPr baseColWidth="10" defaultColWidth="9.1640625" defaultRowHeight="47" x14ac:dyDescent="0.55000000000000004"/>
  <cols>
    <col min="1" max="1" width="10.33203125" style="1" customWidth="1"/>
    <col min="2" max="2" width="24.5" style="1" bestFit="1" customWidth="1"/>
    <col min="3" max="3" width="24" style="1" customWidth="1"/>
    <col min="4" max="4" width="24.1640625" style="1" bestFit="1" customWidth="1"/>
    <col min="5" max="5" width="24.5" style="1" bestFit="1" customWidth="1"/>
    <col min="6" max="6" width="26.5" style="1" bestFit="1" customWidth="1"/>
    <col min="7" max="7" width="25.3320312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/>
    <col min="20" max="20" width="9" style="1" bestFit="1" customWidth="1"/>
    <col min="21" max="16384" width="9.1640625" style="1"/>
  </cols>
  <sheetData>
    <row r="1" spans="1:20" s="3" customFormat="1" ht="29.75" customHeight="1" x14ac:dyDescent="0.2">
      <c r="A1" s="62" t="s">
        <v>458</v>
      </c>
      <c r="B1" s="62"/>
      <c r="C1" s="62"/>
      <c r="D1" s="62"/>
      <c r="E1" s="63" t="s">
        <v>455</v>
      </c>
      <c r="F1" s="62"/>
      <c r="G1" s="62"/>
      <c r="H1" s="62"/>
      <c r="I1" s="62"/>
      <c r="J1" s="62"/>
      <c r="K1" s="62"/>
      <c r="L1" s="62"/>
      <c r="M1" s="62"/>
    </row>
    <row r="2" spans="1:20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0" ht="60" customHeight="1" x14ac:dyDescent="0.55000000000000004">
      <c r="A3" s="1" t="s">
        <v>0</v>
      </c>
      <c r="B3" s="7" t="s">
        <v>167</v>
      </c>
      <c r="C3" s="11" t="s">
        <v>168</v>
      </c>
      <c r="D3" s="8" t="s">
        <v>169</v>
      </c>
      <c r="E3" s="14" t="s">
        <v>170</v>
      </c>
      <c r="F3" s="10" t="s">
        <v>171</v>
      </c>
      <c r="G3" s="15" t="s">
        <v>172</v>
      </c>
      <c r="H3" s="12" t="s">
        <v>173</v>
      </c>
      <c r="I3" s="9" t="s">
        <v>174</v>
      </c>
      <c r="J3" s="13" t="s">
        <v>175</v>
      </c>
      <c r="K3" s="51" t="s">
        <v>176</v>
      </c>
      <c r="L3" s="52" t="s">
        <v>177</v>
      </c>
      <c r="M3" s="53" t="s">
        <v>178</v>
      </c>
    </row>
    <row r="4" spans="1:20" ht="60" customHeight="1" x14ac:dyDescent="0.55000000000000004">
      <c r="A4" s="1" t="s">
        <v>1</v>
      </c>
      <c r="B4" s="7" t="s">
        <v>179</v>
      </c>
      <c r="C4" s="11" t="s">
        <v>180</v>
      </c>
      <c r="D4" s="8" t="s">
        <v>181</v>
      </c>
      <c r="E4" s="14" t="s">
        <v>182</v>
      </c>
      <c r="F4" s="10" t="s">
        <v>183</v>
      </c>
      <c r="G4" s="15" t="s">
        <v>184</v>
      </c>
      <c r="H4" s="12" t="s">
        <v>185</v>
      </c>
      <c r="I4" s="9" t="s">
        <v>186</v>
      </c>
      <c r="J4" s="13" t="s">
        <v>187</v>
      </c>
      <c r="K4" s="51" t="s">
        <v>188</v>
      </c>
      <c r="L4" s="52" t="s">
        <v>189</v>
      </c>
      <c r="M4" s="53" t="s">
        <v>190</v>
      </c>
    </row>
    <row r="5" spans="1:20" ht="60" customHeight="1" x14ac:dyDescent="0.55000000000000004">
      <c r="A5" s="1" t="s">
        <v>2</v>
      </c>
      <c r="B5" s="7" t="s">
        <v>191</v>
      </c>
      <c r="C5" s="11" t="s">
        <v>192</v>
      </c>
      <c r="D5" s="8" t="s">
        <v>193</v>
      </c>
      <c r="E5" s="14" t="s">
        <v>194</v>
      </c>
      <c r="F5" s="10" t="s">
        <v>195</v>
      </c>
      <c r="G5" s="15" t="s">
        <v>196</v>
      </c>
      <c r="H5" s="12" t="s">
        <v>197</v>
      </c>
      <c r="I5" s="9" t="s">
        <v>198</v>
      </c>
      <c r="J5" s="13" t="s">
        <v>199</v>
      </c>
      <c r="K5" s="51" t="s">
        <v>200</v>
      </c>
      <c r="L5" s="52" t="s">
        <v>201</v>
      </c>
      <c r="M5" s="53" t="s">
        <v>202</v>
      </c>
    </row>
    <row r="6" spans="1:20" ht="60" customHeight="1" x14ac:dyDescent="0.55000000000000004">
      <c r="A6" s="1" t="s">
        <v>3</v>
      </c>
      <c r="B6" s="7" t="s">
        <v>203</v>
      </c>
      <c r="C6" s="11" t="s">
        <v>204</v>
      </c>
      <c r="D6" s="8" t="s">
        <v>205</v>
      </c>
      <c r="E6" s="14" t="s">
        <v>206</v>
      </c>
      <c r="F6" s="10" t="s">
        <v>207</v>
      </c>
      <c r="G6" s="15" t="s">
        <v>208</v>
      </c>
      <c r="H6" s="12" t="s">
        <v>209</v>
      </c>
      <c r="I6" s="9" t="s">
        <v>210</v>
      </c>
      <c r="J6" s="13" t="s">
        <v>211</v>
      </c>
      <c r="K6" s="51" t="s">
        <v>212</v>
      </c>
      <c r="L6" s="52" t="s">
        <v>213</v>
      </c>
      <c r="M6" s="53" t="s">
        <v>214</v>
      </c>
    </row>
    <row r="7" spans="1:20" ht="60" customHeight="1" x14ac:dyDescent="0.55000000000000004">
      <c r="A7" s="1" t="s">
        <v>4</v>
      </c>
      <c r="B7" s="7" t="s">
        <v>215</v>
      </c>
      <c r="C7" s="11" t="s">
        <v>216</v>
      </c>
      <c r="D7" s="8" t="s">
        <v>217</v>
      </c>
      <c r="E7" s="14" t="s">
        <v>218</v>
      </c>
      <c r="F7" s="10" t="s">
        <v>219</v>
      </c>
      <c r="G7" s="15" t="s">
        <v>220</v>
      </c>
      <c r="H7" s="12" t="s">
        <v>221</v>
      </c>
      <c r="I7" s="9" t="s">
        <v>222</v>
      </c>
      <c r="J7" s="13" t="s">
        <v>223</v>
      </c>
      <c r="K7" s="51" t="s">
        <v>224</v>
      </c>
      <c r="L7" s="52" t="s">
        <v>225</v>
      </c>
      <c r="M7" s="53" t="s">
        <v>226</v>
      </c>
    </row>
    <row r="8" spans="1:20" ht="60" customHeight="1" x14ac:dyDescent="0.55000000000000004">
      <c r="A8" s="1" t="s">
        <v>5</v>
      </c>
      <c r="B8" s="7" t="s">
        <v>227</v>
      </c>
      <c r="C8" s="11" t="s">
        <v>228</v>
      </c>
      <c r="D8" s="8" t="s">
        <v>229</v>
      </c>
      <c r="E8" s="14" t="s">
        <v>230</v>
      </c>
      <c r="F8" s="10" t="s">
        <v>231</v>
      </c>
      <c r="G8" s="15" t="s">
        <v>232</v>
      </c>
      <c r="H8" s="12" t="s">
        <v>233</v>
      </c>
      <c r="I8" s="9" t="s">
        <v>234</v>
      </c>
      <c r="J8" s="13" t="s">
        <v>235</v>
      </c>
      <c r="K8" s="51" t="s">
        <v>236</v>
      </c>
      <c r="L8" s="52" t="s">
        <v>237</v>
      </c>
      <c r="M8" s="53" t="s">
        <v>238</v>
      </c>
      <c r="R8" s="2"/>
    </row>
    <row r="9" spans="1:20" ht="60" customHeight="1" x14ac:dyDescent="0.55000000000000004">
      <c r="A9" s="1" t="s">
        <v>6</v>
      </c>
      <c r="B9" s="7" t="s">
        <v>239</v>
      </c>
      <c r="C9" s="11" t="s">
        <v>240</v>
      </c>
      <c r="D9" s="8" t="s">
        <v>241</v>
      </c>
      <c r="E9" s="14" t="s">
        <v>242</v>
      </c>
      <c r="F9" s="10" t="s">
        <v>243</v>
      </c>
      <c r="G9" s="15" t="s">
        <v>244</v>
      </c>
      <c r="H9" s="12" t="s">
        <v>245</v>
      </c>
      <c r="I9" s="9" t="s">
        <v>246</v>
      </c>
      <c r="J9" s="13" t="s">
        <v>247</v>
      </c>
      <c r="K9" s="51" t="s">
        <v>248</v>
      </c>
      <c r="L9" s="52" t="s">
        <v>249</v>
      </c>
      <c r="M9" s="53" t="s">
        <v>250</v>
      </c>
    </row>
    <row r="10" spans="1:20" ht="60" customHeight="1" x14ac:dyDescent="0.55000000000000004">
      <c r="A10" s="1" t="s">
        <v>7</v>
      </c>
      <c r="B10" s="7" t="s">
        <v>251</v>
      </c>
      <c r="C10" s="11" t="s">
        <v>252</v>
      </c>
      <c r="D10" s="8" t="s">
        <v>253</v>
      </c>
      <c r="E10" s="14" t="s">
        <v>254</v>
      </c>
      <c r="F10" s="10" t="s">
        <v>255</v>
      </c>
      <c r="G10" s="15" t="s">
        <v>256</v>
      </c>
      <c r="H10" s="12" t="s">
        <v>257</v>
      </c>
      <c r="I10" s="9" t="s">
        <v>258</v>
      </c>
      <c r="J10" s="13" t="s">
        <v>259</v>
      </c>
      <c r="K10" s="51" t="s">
        <v>260</v>
      </c>
      <c r="L10" s="52" t="s">
        <v>261</v>
      </c>
      <c r="M10" s="53" t="s">
        <v>262</v>
      </c>
    </row>
    <row r="11" spans="1:20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0" ht="21.75" customHeight="1" x14ac:dyDescent="0.55000000000000004">
      <c r="E12" s="20"/>
    </row>
    <row r="13" spans="1:20" ht="17.25" customHeight="1" x14ac:dyDescent="0.55000000000000004">
      <c r="A13" s="2"/>
      <c r="B13" s="60" t="s">
        <v>653</v>
      </c>
      <c r="C13" s="61" t="s">
        <v>656</v>
      </c>
      <c r="D13" s="2"/>
    </row>
    <row r="14" spans="1:20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</row>
    <row r="15" spans="1:20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</row>
    <row r="16" spans="1:20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</row>
    <row r="17" spans="2:20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</row>
    <row r="18" spans="2:20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</row>
    <row r="19" spans="2:20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</row>
    <row r="20" spans="2:20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</row>
    <row r="21" spans="2:20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</row>
    <row r="22" spans="2:20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</row>
    <row r="23" spans="2:20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0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>
        <f>264*4</f>
        <v>1056</v>
      </c>
      <c r="K24"/>
    </row>
    <row r="25" spans="2:20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>
        <f>3.3*4</f>
        <v>13.2</v>
      </c>
      <c r="K25"/>
    </row>
    <row r="26" spans="2:20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0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0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0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0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0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0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ageMargins left="0.25" right="0.25" top="0.75" bottom="0.75" header="0.3" footer="0.3"/>
  <pageSetup scale="2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22EF-8BC3-284F-82A6-917467AA5429}">
  <sheetPr>
    <pageSetUpPr fitToPage="1"/>
  </sheetPr>
  <dimension ref="A1:U64"/>
  <sheetViews>
    <sheetView zoomScale="90" zoomScaleNormal="90" workbookViewId="0">
      <selection sqref="A1:D1"/>
    </sheetView>
  </sheetViews>
  <sheetFormatPr baseColWidth="10" defaultColWidth="9.1640625" defaultRowHeight="47" x14ac:dyDescent="0.55000000000000004"/>
  <cols>
    <col min="1" max="1" width="10.33203125" style="1" customWidth="1"/>
    <col min="2" max="2" width="24.5" style="1" bestFit="1" customWidth="1"/>
    <col min="3" max="3" width="24" style="1" customWidth="1"/>
    <col min="4" max="4" width="24.1640625" style="1" bestFit="1" customWidth="1"/>
    <col min="5" max="5" width="24.5" style="1" bestFit="1" customWidth="1"/>
    <col min="6" max="6" width="26.5" style="1" bestFit="1" customWidth="1"/>
    <col min="7" max="7" width="25.3320312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/>
    <col min="20" max="20" width="9" style="1" bestFit="1" customWidth="1"/>
    <col min="21" max="16384" width="9.1640625" style="1"/>
  </cols>
  <sheetData>
    <row r="1" spans="1:21" s="3" customFormat="1" ht="29.75" customHeight="1" x14ac:dyDescent="0.2">
      <c r="A1" s="62" t="s">
        <v>655</v>
      </c>
      <c r="B1" s="62"/>
      <c r="C1" s="62"/>
      <c r="D1" s="62"/>
      <c r="E1" s="63" t="s">
        <v>456</v>
      </c>
      <c r="F1" s="62"/>
      <c r="G1" s="62"/>
      <c r="H1" s="62"/>
      <c r="I1" s="62"/>
      <c r="J1" s="62"/>
      <c r="K1" s="62"/>
      <c r="L1" s="62"/>
      <c r="M1" s="62"/>
    </row>
    <row r="2" spans="1:21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1" ht="60" customHeight="1" x14ac:dyDescent="0.55000000000000004">
      <c r="A3" s="1" t="s">
        <v>0</v>
      </c>
      <c r="B3" s="7" t="s">
        <v>263</v>
      </c>
      <c r="C3" s="11" t="s">
        <v>264</v>
      </c>
      <c r="D3" s="8" t="s">
        <v>265</v>
      </c>
      <c r="E3" s="14" t="s">
        <v>266</v>
      </c>
      <c r="F3" s="10" t="s">
        <v>267</v>
      </c>
      <c r="G3" s="15" t="s">
        <v>268</v>
      </c>
      <c r="H3" s="12" t="s">
        <v>269</v>
      </c>
      <c r="I3" s="9" t="s">
        <v>270</v>
      </c>
      <c r="J3" s="13" t="s">
        <v>271</v>
      </c>
      <c r="K3" s="51" t="s">
        <v>272</v>
      </c>
      <c r="L3" s="52" t="s">
        <v>273</v>
      </c>
      <c r="M3" s="53" t="s">
        <v>274</v>
      </c>
    </row>
    <row r="4" spans="1:21" ht="60" customHeight="1" x14ac:dyDescent="0.55000000000000004">
      <c r="A4" s="1" t="s">
        <v>1</v>
      </c>
      <c r="B4" s="7" t="s">
        <v>275</v>
      </c>
      <c r="C4" s="11" t="s">
        <v>276</v>
      </c>
      <c r="D4" s="8" t="s">
        <v>277</v>
      </c>
      <c r="E4" s="14" t="s">
        <v>278</v>
      </c>
      <c r="F4" s="10" t="s">
        <v>279</v>
      </c>
      <c r="G4" s="15" t="s">
        <v>280</v>
      </c>
      <c r="H4" s="12" t="s">
        <v>281</v>
      </c>
      <c r="I4" s="9" t="s">
        <v>282</v>
      </c>
      <c r="J4" s="13" t="s">
        <v>283</v>
      </c>
      <c r="K4" s="51" t="s">
        <v>284</v>
      </c>
      <c r="L4" s="52" t="s">
        <v>285</v>
      </c>
      <c r="M4" s="53" t="s">
        <v>286</v>
      </c>
    </row>
    <row r="5" spans="1:21" ht="60" customHeight="1" x14ac:dyDescent="0.55000000000000004">
      <c r="A5" s="1" t="s">
        <v>2</v>
      </c>
      <c r="B5" s="7" t="s">
        <v>287</v>
      </c>
      <c r="C5" s="11" t="s">
        <v>288</v>
      </c>
      <c r="D5" s="8" t="s">
        <v>289</v>
      </c>
      <c r="E5" s="14" t="s">
        <v>290</v>
      </c>
      <c r="F5" s="10" t="s">
        <v>291</v>
      </c>
      <c r="G5" s="15" t="s">
        <v>292</v>
      </c>
      <c r="H5" s="12" t="s">
        <v>293</v>
      </c>
      <c r="I5" s="9" t="s">
        <v>294</v>
      </c>
      <c r="J5" s="13" t="s">
        <v>295</v>
      </c>
      <c r="K5" s="51" t="s">
        <v>296</v>
      </c>
      <c r="L5" s="52" t="s">
        <v>297</v>
      </c>
      <c r="M5" s="53" t="s">
        <v>298</v>
      </c>
    </row>
    <row r="6" spans="1:21" ht="60" customHeight="1" x14ac:dyDescent="0.55000000000000004">
      <c r="A6" s="1" t="s">
        <v>3</v>
      </c>
      <c r="B6" s="7" t="s">
        <v>299</v>
      </c>
      <c r="C6" s="11" t="s">
        <v>300</v>
      </c>
      <c r="D6" s="8" t="s">
        <v>301</v>
      </c>
      <c r="E6" s="14" t="s">
        <v>302</v>
      </c>
      <c r="F6" s="10" t="s">
        <v>303</v>
      </c>
      <c r="G6" s="15" t="s">
        <v>304</v>
      </c>
      <c r="H6" s="12" t="s">
        <v>305</v>
      </c>
      <c r="I6" s="9" t="s">
        <v>306</v>
      </c>
      <c r="J6" s="13" t="s">
        <v>307</v>
      </c>
      <c r="K6" s="51" t="s">
        <v>308</v>
      </c>
      <c r="L6" s="52" t="s">
        <v>309</v>
      </c>
      <c r="M6" s="53" t="s">
        <v>310</v>
      </c>
    </row>
    <row r="7" spans="1:21" ht="60" customHeight="1" x14ac:dyDescent="0.55000000000000004">
      <c r="A7" s="1" t="s">
        <v>4</v>
      </c>
      <c r="B7" s="7" t="s">
        <v>311</v>
      </c>
      <c r="C7" s="11" t="s">
        <v>312</v>
      </c>
      <c r="D7" s="8" t="s">
        <v>313</v>
      </c>
      <c r="E7" s="14" t="s">
        <v>314</v>
      </c>
      <c r="F7" s="10" t="s">
        <v>315</v>
      </c>
      <c r="G7" s="15" t="s">
        <v>316</v>
      </c>
      <c r="H7" s="12" t="s">
        <v>317</v>
      </c>
      <c r="I7" s="9" t="s">
        <v>318</v>
      </c>
      <c r="J7" s="13" t="s">
        <v>319</v>
      </c>
      <c r="K7" s="51" t="s">
        <v>320</v>
      </c>
      <c r="L7" s="52" t="s">
        <v>321</v>
      </c>
      <c r="M7" s="53" t="s">
        <v>322</v>
      </c>
    </row>
    <row r="8" spans="1:21" ht="60" customHeight="1" x14ac:dyDescent="0.55000000000000004">
      <c r="A8" s="1" t="s">
        <v>5</v>
      </c>
      <c r="B8" s="7" t="s">
        <v>323</v>
      </c>
      <c r="C8" s="11" t="s">
        <v>324</v>
      </c>
      <c r="D8" s="8" t="s">
        <v>325</v>
      </c>
      <c r="E8" s="14" t="s">
        <v>326</v>
      </c>
      <c r="F8" s="10" t="s">
        <v>327</v>
      </c>
      <c r="G8" s="15" t="s">
        <v>328</v>
      </c>
      <c r="H8" s="12" t="s">
        <v>329</v>
      </c>
      <c r="I8" s="9" t="s">
        <v>330</v>
      </c>
      <c r="J8" s="13" t="s">
        <v>331</v>
      </c>
      <c r="K8" s="51" t="s">
        <v>332</v>
      </c>
      <c r="L8" s="52" t="s">
        <v>333</v>
      </c>
      <c r="M8" s="53" t="s">
        <v>334</v>
      </c>
      <c r="R8" s="2"/>
    </row>
    <row r="9" spans="1:21" ht="60" customHeight="1" x14ac:dyDescent="0.55000000000000004">
      <c r="A9" s="1" t="s">
        <v>6</v>
      </c>
      <c r="B9" s="7" t="s">
        <v>335</v>
      </c>
      <c r="C9" s="11" t="s">
        <v>336</v>
      </c>
      <c r="D9" s="8" t="s">
        <v>337</v>
      </c>
      <c r="E9" s="14" t="s">
        <v>338</v>
      </c>
      <c r="F9" s="10" t="s">
        <v>339</v>
      </c>
      <c r="G9" s="15" t="s">
        <v>340</v>
      </c>
      <c r="H9" s="12" t="s">
        <v>341</v>
      </c>
      <c r="I9" s="9" t="s">
        <v>342</v>
      </c>
      <c r="J9" s="13" t="s">
        <v>343</v>
      </c>
      <c r="K9" s="51" t="s">
        <v>344</v>
      </c>
      <c r="L9" s="52" t="s">
        <v>345</v>
      </c>
      <c r="M9" s="53" t="s">
        <v>346</v>
      </c>
    </row>
    <row r="10" spans="1:21" ht="60" customHeight="1" x14ac:dyDescent="0.55000000000000004">
      <c r="A10" s="1" t="s">
        <v>7</v>
      </c>
      <c r="B10" s="7" t="s">
        <v>347</v>
      </c>
      <c r="C10" s="11" t="s">
        <v>348</v>
      </c>
      <c r="D10" s="8" t="s">
        <v>349</v>
      </c>
      <c r="E10" s="14" t="s">
        <v>350</v>
      </c>
      <c r="F10" s="10" t="s">
        <v>351</v>
      </c>
      <c r="G10" s="15" t="s">
        <v>352</v>
      </c>
      <c r="H10" s="12" t="s">
        <v>353</v>
      </c>
      <c r="I10" s="9" t="s">
        <v>354</v>
      </c>
      <c r="J10" s="13" t="s">
        <v>355</v>
      </c>
      <c r="K10" s="51" t="s">
        <v>356</v>
      </c>
      <c r="L10" s="52" t="s">
        <v>357</v>
      </c>
      <c r="M10" s="53" t="s">
        <v>358</v>
      </c>
    </row>
    <row r="11" spans="1:21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1" ht="21.75" customHeight="1" x14ac:dyDescent="0.55000000000000004">
      <c r="E12" s="20">
        <v>131.80000000000001</v>
      </c>
    </row>
    <row r="13" spans="1:21" ht="17.25" customHeight="1" x14ac:dyDescent="0.55000000000000004">
      <c r="A13" s="2"/>
      <c r="B13" s="60" t="s">
        <v>653</v>
      </c>
      <c r="C13" s="61" t="s">
        <v>657</v>
      </c>
      <c r="D13" s="2"/>
      <c r="R13"/>
      <c r="S13"/>
      <c r="T13"/>
      <c r="U13"/>
    </row>
    <row r="14" spans="1:21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  <c r="U14"/>
    </row>
    <row r="15" spans="1:21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  <c r="U15"/>
    </row>
    <row r="16" spans="1:21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  <c r="U16"/>
    </row>
    <row r="17" spans="2:21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  <c r="U17"/>
    </row>
    <row r="18" spans="2:21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  <c r="U18"/>
    </row>
    <row r="19" spans="2:21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  <c r="U19"/>
    </row>
    <row r="20" spans="2:21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  <c r="U20"/>
    </row>
    <row r="21" spans="2:21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  <c r="U21"/>
    </row>
    <row r="22" spans="2:21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  <c r="U22"/>
    </row>
    <row r="23" spans="2:21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1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/>
      <c r="K24"/>
    </row>
    <row r="25" spans="2:21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/>
      <c r="K25"/>
    </row>
    <row r="26" spans="2:21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1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1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1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1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1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1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ageMargins left="0.25" right="0.25" top="0.75" bottom="0.75" header="0.3" footer="0.3"/>
  <pageSetup scale="2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B396-5C56-C449-A4C6-7C56EDECD24D}">
  <dimension ref="A1:T64"/>
  <sheetViews>
    <sheetView zoomScale="90" zoomScaleNormal="90" workbookViewId="0">
      <selection activeCell="T15" sqref="T15"/>
    </sheetView>
  </sheetViews>
  <sheetFormatPr baseColWidth="10" defaultColWidth="9.1640625" defaultRowHeight="47" x14ac:dyDescent="0.55000000000000004"/>
  <cols>
    <col min="1" max="1" width="10.33203125" style="1" customWidth="1"/>
    <col min="2" max="4" width="24.6640625" style="1" bestFit="1" customWidth="1"/>
    <col min="5" max="6" width="25.33203125" style="1" bestFit="1" customWidth="1"/>
    <col min="7" max="7" width="27.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/>
    <col min="20" max="20" width="9" style="1" bestFit="1" customWidth="1"/>
    <col min="21" max="16384" width="9.1640625" style="1"/>
  </cols>
  <sheetData>
    <row r="1" spans="1:20" s="3" customFormat="1" ht="29.75" customHeight="1" x14ac:dyDescent="0.2">
      <c r="A1" s="62" t="s">
        <v>655</v>
      </c>
      <c r="B1" s="62"/>
      <c r="C1" s="62"/>
      <c r="D1" s="62"/>
      <c r="E1" s="63" t="s">
        <v>459</v>
      </c>
      <c r="F1" s="62"/>
      <c r="G1" s="62"/>
      <c r="H1" s="62"/>
      <c r="I1" s="62"/>
      <c r="J1" s="62"/>
      <c r="K1" s="62"/>
      <c r="L1" s="62"/>
      <c r="M1" s="62"/>
    </row>
    <row r="2" spans="1:20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0" ht="60" customHeight="1" x14ac:dyDescent="0.55000000000000004">
      <c r="A3" s="1" t="s">
        <v>0</v>
      </c>
      <c r="B3" s="7" t="s">
        <v>460</v>
      </c>
      <c r="C3" s="11" t="s">
        <v>461</v>
      </c>
      <c r="D3" s="8" t="s">
        <v>462</v>
      </c>
      <c r="E3" s="14" t="s">
        <v>463</v>
      </c>
      <c r="F3" s="10" t="s">
        <v>464</v>
      </c>
      <c r="G3" s="15" t="s">
        <v>465</v>
      </c>
      <c r="H3" s="12" t="s">
        <v>466</v>
      </c>
      <c r="I3" s="9" t="s">
        <v>467</v>
      </c>
      <c r="J3" s="13" t="s">
        <v>468</v>
      </c>
      <c r="K3" s="51" t="s">
        <v>469</v>
      </c>
      <c r="L3" s="52" t="s">
        <v>470</v>
      </c>
      <c r="M3" s="53" t="s">
        <v>471</v>
      </c>
    </row>
    <row r="4" spans="1:20" ht="60" customHeight="1" x14ac:dyDescent="0.55000000000000004">
      <c r="A4" s="1" t="s">
        <v>1</v>
      </c>
      <c r="B4" s="7" t="s">
        <v>472</v>
      </c>
      <c r="C4" s="11" t="s">
        <v>473</v>
      </c>
      <c r="D4" s="8" t="s">
        <v>474</v>
      </c>
      <c r="E4" s="14" t="s">
        <v>475</v>
      </c>
      <c r="F4" s="10" t="s">
        <v>476</v>
      </c>
      <c r="G4" s="15" t="s">
        <v>477</v>
      </c>
      <c r="H4" s="12" t="s">
        <v>478</v>
      </c>
      <c r="I4" s="9" t="s">
        <v>479</v>
      </c>
      <c r="J4" s="13" t="s">
        <v>480</v>
      </c>
      <c r="K4" s="51" t="s">
        <v>481</v>
      </c>
      <c r="L4" s="52" t="s">
        <v>482</v>
      </c>
      <c r="M4" s="53" t="s">
        <v>483</v>
      </c>
    </row>
    <row r="5" spans="1:20" ht="60" customHeight="1" x14ac:dyDescent="0.55000000000000004">
      <c r="A5" s="1" t="s">
        <v>2</v>
      </c>
      <c r="B5" s="7" t="s">
        <v>484</v>
      </c>
      <c r="C5" s="11" t="s">
        <v>485</v>
      </c>
      <c r="D5" s="8" t="s">
        <v>486</v>
      </c>
      <c r="E5" s="14" t="s">
        <v>487</v>
      </c>
      <c r="F5" s="10" t="s">
        <v>488</v>
      </c>
      <c r="G5" s="15" t="s">
        <v>489</v>
      </c>
      <c r="H5" s="12" t="s">
        <v>490</v>
      </c>
      <c r="I5" s="9" t="s">
        <v>491</v>
      </c>
      <c r="J5" s="13" t="s">
        <v>492</v>
      </c>
      <c r="K5" s="51" t="s">
        <v>493</v>
      </c>
      <c r="L5" s="52" t="s">
        <v>494</v>
      </c>
      <c r="M5" s="53" t="s">
        <v>495</v>
      </c>
    </row>
    <row r="6" spans="1:20" ht="60" customHeight="1" x14ac:dyDescent="0.55000000000000004">
      <c r="A6" s="1" t="s">
        <v>3</v>
      </c>
      <c r="B6" s="7" t="s">
        <v>496</v>
      </c>
      <c r="C6" s="11" t="s">
        <v>497</v>
      </c>
      <c r="D6" s="8" t="s">
        <v>498</v>
      </c>
      <c r="E6" s="14" t="s">
        <v>499</v>
      </c>
      <c r="F6" s="10" t="s">
        <v>500</v>
      </c>
      <c r="G6" s="15" t="s">
        <v>501</v>
      </c>
      <c r="H6" s="12" t="s">
        <v>502</v>
      </c>
      <c r="I6" s="9" t="s">
        <v>503</v>
      </c>
      <c r="J6" s="13" t="s">
        <v>504</v>
      </c>
      <c r="K6" s="51" t="s">
        <v>505</v>
      </c>
      <c r="L6" s="52" t="s">
        <v>506</v>
      </c>
      <c r="M6" s="53" t="s">
        <v>507</v>
      </c>
    </row>
    <row r="7" spans="1:20" ht="60" customHeight="1" x14ac:dyDescent="0.55000000000000004">
      <c r="A7" s="1" t="s">
        <v>4</v>
      </c>
      <c r="B7" s="7" t="s">
        <v>508</v>
      </c>
      <c r="C7" s="11" t="s">
        <v>509</v>
      </c>
      <c r="D7" s="8" t="s">
        <v>510</v>
      </c>
      <c r="E7" s="14" t="s">
        <v>511</v>
      </c>
      <c r="F7" s="10" t="s">
        <v>512</v>
      </c>
      <c r="G7" s="15" t="s">
        <v>513</v>
      </c>
      <c r="H7" s="12" t="s">
        <v>514</v>
      </c>
      <c r="I7" s="9" t="s">
        <v>515</v>
      </c>
      <c r="J7" s="13" t="s">
        <v>516</v>
      </c>
      <c r="K7" s="51" t="s">
        <v>517</v>
      </c>
      <c r="L7" s="52" t="s">
        <v>518</v>
      </c>
      <c r="M7" s="53" t="s">
        <v>519</v>
      </c>
    </row>
    <row r="8" spans="1:20" ht="60" customHeight="1" x14ac:dyDescent="0.55000000000000004">
      <c r="A8" s="1" t="s">
        <v>5</v>
      </c>
      <c r="B8" s="7" t="s">
        <v>520</v>
      </c>
      <c r="C8" s="11" t="s">
        <v>521</v>
      </c>
      <c r="D8" s="8" t="s">
        <v>522</v>
      </c>
      <c r="E8" s="14" t="s">
        <v>523</v>
      </c>
      <c r="F8" s="10" t="s">
        <v>524</v>
      </c>
      <c r="G8" s="15" t="s">
        <v>525</v>
      </c>
      <c r="H8" s="12" t="s">
        <v>526</v>
      </c>
      <c r="I8" s="9" t="s">
        <v>527</v>
      </c>
      <c r="J8" s="13" t="s">
        <v>528</v>
      </c>
      <c r="K8" s="51" t="s">
        <v>529</v>
      </c>
      <c r="L8" s="52" t="s">
        <v>530</v>
      </c>
      <c r="M8" s="53" t="s">
        <v>531</v>
      </c>
      <c r="R8" s="2"/>
    </row>
    <row r="9" spans="1:20" ht="60" customHeight="1" x14ac:dyDescent="0.55000000000000004">
      <c r="A9" s="1" t="s">
        <v>6</v>
      </c>
      <c r="B9" s="7" t="s">
        <v>532</v>
      </c>
      <c r="C9" s="11" t="s">
        <v>533</v>
      </c>
      <c r="D9" s="8" t="s">
        <v>534</v>
      </c>
      <c r="E9" s="14" t="s">
        <v>535</v>
      </c>
      <c r="F9" s="10" t="s">
        <v>536</v>
      </c>
      <c r="G9" s="15" t="s">
        <v>537</v>
      </c>
      <c r="H9" s="12" t="s">
        <v>538</v>
      </c>
      <c r="I9" s="9" t="s">
        <v>539</v>
      </c>
      <c r="J9" s="13" t="s">
        <v>540</v>
      </c>
      <c r="K9" s="51" t="s">
        <v>541</v>
      </c>
      <c r="L9" s="52" t="s">
        <v>542</v>
      </c>
      <c r="M9" s="53" t="s">
        <v>543</v>
      </c>
    </row>
    <row r="10" spans="1:20" ht="60" customHeight="1" x14ac:dyDescent="0.55000000000000004">
      <c r="A10" s="1" t="s">
        <v>7</v>
      </c>
      <c r="B10" s="7" t="s">
        <v>544</v>
      </c>
      <c r="C10" s="11" t="s">
        <v>545</v>
      </c>
      <c r="D10" s="8" t="s">
        <v>546</v>
      </c>
      <c r="E10" s="14" t="s">
        <v>547</v>
      </c>
      <c r="F10" s="10" t="s">
        <v>548</v>
      </c>
      <c r="G10" s="15" t="s">
        <v>549</v>
      </c>
      <c r="H10" s="12" t="s">
        <v>550</v>
      </c>
      <c r="I10" s="9" t="s">
        <v>551</v>
      </c>
      <c r="J10" s="13" t="s">
        <v>552</v>
      </c>
      <c r="K10" s="51" t="s">
        <v>553</v>
      </c>
      <c r="L10" s="52" t="s">
        <v>554</v>
      </c>
      <c r="M10" s="53" t="s">
        <v>555</v>
      </c>
    </row>
    <row r="11" spans="1:20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0" ht="21.75" customHeight="1" x14ac:dyDescent="0.55000000000000004">
      <c r="E12" s="20">
        <v>131.80000000000001</v>
      </c>
    </row>
    <row r="13" spans="1:20" ht="17.25" customHeight="1" x14ac:dyDescent="0.55000000000000004">
      <c r="A13" s="2"/>
      <c r="B13" s="60" t="s">
        <v>653</v>
      </c>
      <c r="C13" s="61" t="s">
        <v>656</v>
      </c>
      <c r="D13" s="2"/>
    </row>
    <row r="14" spans="1:20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</row>
    <row r="15" spans="1:20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</row>
    <row r="16" spans="1:20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</row>
    <row r="17" spans="2:20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</row>
    <row r="18" spans="2:20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</row>
    <row r="19" spans="2:20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</row>
    <row r="20" spans="2:20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</row>
    <row r="21" spans="2:20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</row>
    <row r="22" spans="2:20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</row>
    <row r="23" spans="2:20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0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/>
      <c r="K24"/>
    </row>
    <row r="25" spans="2:20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/>
      <c r="K25"/>
    </row>
    <row r="26" spans="2:20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0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0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0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0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0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0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D0B7-B45D-F34A-A76D-7AE91EC3D4D4}">
  <dimension ref="A1:T64"/>
  <sheetViews>
    <sheetView zoomScale="90" zoomScaleNormal="90" workbookViewId="0">
      <selection sqref="A1:D1"/>
    </sheetView>
  </sheetViews>
  <sheetFormatPr baseColWidth="10" defaultColWidth="9.1640625" defaultRowHeight="47" x14ac:dyDescent="0.55000000000000004"/>
  <cols>
    <col min="1" max="1" width="10.33203125" style="1" customWidth="1"/>
    <col min="2" max="2" width="24.5" style="1" bestFit="1" customWidth="1"/>
    <col min="3" max="3" width="24" style="1" customWidth="1"/>
    <col min="4" max="4" width="24.1640625" style="1" bestFit="1" customWidth="1"/>
    <col min="5" max="5" width="24.5" style="1" bestFit="1" customWidth="1"/>
    <col min="6" max="6" width="26.5" style="1" bestFit="1" customWidth="1"/>
    <col min="7" max="7" width="25.3320312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/>
    <col min="20" max="20" width="9" style="1" bestFit="1" customWidth="1"/>
    <col min="21" max="16384" width="9.1640625" style="1"/>
  </cols>
  <sheetData>
    <row r="1" spans="1:20" s="3" customFormat="1" ht="29.75" customHeight="1" x14ac:dyDescent="0.2">
      <c r="A1" s="62" t="s">
        <v>658</v>
      </c>
      <c r="B1" s="62"/>
      <c r="C1" s="62"/>
      <c r="D1" s="62"/>
      <c r="E1" s="63" t="s">
        <v>556</v>
      </c>
      <c r="F1" s="62"/>
      <c r="G1" s="62"/>
      <c r="H1" s="62"/>
      <c r="I1" s="62"/>
      <c r="J1" s="62"/>
      <c r="K1" s="62"/>
      <c r="L1" s="62"/>
      <c r="M1" s="62"/>
    </row>
    <row r="2" spans="1:20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0" ht="60" customHeight="1" x14ac:dyDescent="0.55000000000000004">
      <c r="A3" s="1" t="s">
        <v>0</v>
      </c>
      <c r="B3" s="7" t="s">
        <v>557</v>
      </c>
      <c r="C3" s="11" t="s">
        <v>558</v>
      </c>
      <c r="D3" s="8" t="s">
        <v>559</v>
      </c>
      <c r="E3" s="14" t="s">
        <v>560</v>
      </c>
      <c r="F3" s="10" t="s">
        <v>561</v>
      </c>
      <c r="G3" s="15" t="s">
        <v>562</v>
      </c>
      <c r="H3" s="12" t="s">
        <v>563</v>
      </c>
      <c r="I3" s="9" t="s">
        <v>564</v>
      </c>
      <c r="J3" s="13" t="s">
        <v>565</v>
      </c>
      <c r="K3" s="51" t="s">
        <v>566</v>
      </c>
      <c r="L3" s="52" t="s">
        <v>567</v>
      </c>
      <c r="M3" s="53" t="s">
        <v>568</v>
      </c>
    </row>
    <row r="4" spans="1:20" ht="60" customHeight="1" x14ac:dyDescent="0.55000000000000004">
      <c r="A4" s="1" t="s">
        <v>1</v>
      </c>
      <c r="B4" s="7" t="s">
        <v>569</v>
      </c>
      <c r="C4" s="11" t="s">
        <v>570</v>
      </c>
      <c r="D4" s="8" t="s">
        <v>571</v>
      </c>
      <c r="E4" s="14" t="s">
        <v>572</v>
      </c>
      <c r="F4" s="10" t="s">
        <v>573</v>
      </c>
      <c r="G4" s="15" t="s">
        <v>574</v>
      </c>
      <c r="H4" s="12" t="s">
        <v>575</v>
      </c>
      <c r="I4" s="9" t="s">
        <v>576</v>
      </c>
      <c r="J4" s="13" t="s">
        <v>577</v>
      </c>
      <c r="K4" s="51" t="s">
        <v>578</v>
      </c>
      <c r="L4" s="52" t="s">
        <v>579</v>
      </c>
      <c r="M4" s="53" t="s">
        <v>580</v>
      </c>
    </row>
    <row r="5" spans="1:20" ht="60" customHeight="1" x14ac:dyDescent="0.55000000000000004">
      <c r="A5" s="1" t="s">
        <v>2</v>
      </c>
      <c r="B5" s="7" t="s">
        <v>581</v>
      </c>
      <c r="C5" s="11" t="s">
        <v>582</v>
      </c>
      <c r="D5" s="8" t="s">
        <v>583</v>
      </c>
      <c r="E5" s="14" t="s">
        <v>584</v>
      </c>
      <c r="F5" s="10" t="s">
        <v>585</v>
      </c>
      <c r="G5" s="15" t="s">
        <v>586</v>
      </c>
      <c r="H5" s="12" t="s">
        <v>587</v>
      </c>
      <c r="I5" s="9" t="s">
        <v>588</v>
      </c>
      <c r="J5" s="13" t="s">
        <v>589</v>
      </c>
      <c r="K5" s="51" t="s">
        <v>590</v>
      </c>
      <c r="L5" s="52" t="s">
        <v>591</v>
      </c>
      <c r="M5" s="53" t="s">
        <v>592</v>
      </c>
    </row>
    <row r="6" spans="1:20" ht="60" customHeight="1" x14ac:dyDescent="0.55000000000000004">
      <c r="A6" s="1" t="s">
        <v>3</v>
      </c>
      <c r="B6" s="7" t="s">
        <v>593</v>
      </c>
      <c r="C6" s="11" t="s">
        <v>594</v>
      </c>
      <c r="D6" s="8" t="s">
        <v>595</v>
      </c>
      <c r="E6" s="14" t="s">
        <v>596</v>
      </c>
      <c r="F6" s="10" t="s">
        <v>597</v>
      </c>
      <c r="G6" s="15" t="s">
        <v>598</v>
      </c>
      <c r="H6" s="12" t="s">
        <v>599</v>
      </c>
      <c r="I6" s="9" t="s">
        <v>600</v>
      </c>
      <c r="J6" s="13" t="s">
        <v>601</v>
      </c>
      <c r="K6" s="51" t="s">
        <v>602</v>
      </c>
      <c r="L6" s="52" t="s">
        <v>603</v>
      </c>
      <c r="M6" s="53" t="s">
        <v>604</v>
      </c>
    </row>
    <row r="7" spans="1:20" ht="60" customHeight="1" x14ac:dyDescent="0.55000000000000004">
      <c r="A7" s="1" t="s">
        <v>4</v>
      </c>
      <c r="B7" s="7" t="s">
        <v>605</v>
      </c>
      <c r="C7" s="11" t="s">
        <v>606</v>
      </c>
      <c r="D7" s="8" t="s">
        <v>607</v>
      </c>
      <c r="E7" s="14" t="s">
        <v>608</v>
      </c>
      <c r="F7" s="10" t="s">
        <v>609</v>
      </c>
      <c r="G7" s="15" t="s">
        <v>610</v>
      </c>
      <c r="H7" s="12" t="s">
        <v>611</v>
      </c>
      <c r="I7" s="9" t="s">
        <v>612</v>
      </c>
      <c r="J7" s="13" t="s">
        <v>613</v>
      </c>
      <c r="K7" s="51" t="s">
        <v>614</v>
      </c>
      <c r="L7" s="52" t="s">
        <v>615</v>
      </c>
      <c r="M7" s="53" t="s">
        <v>616</v>
      </c>
    </row>
    <row r="8" spans="1:20" ht="60" customHeight="1" x14ac:dyDescent="0.55000000000000004">
      <c r="A8" s="1" t="s">
        <v>5</v>
      </c>
      <c r="B8" s="7" t="s">
        <v>617</v>
      </c>
      <c r="C8" s="11" t="s">
        <v>618</v>
      </c>
      <c r="D8" s="8" t="s">
        <v>619</v>
      </c>
      <c r="E8" s="14" t="s">
        <v>620</v>
      </c>
      <c r="F8" s="10" t="s">
        <v>621</v>
      </c>
      <c r="G8" s="15" t="s">
        <v>622</v>
      </c>
      <c r="H8" s="12" t="s">
        <v>623</v>
      </c>
      <c r="I8" s="9" t="s">
        <v>624</v>
      </c>
      <c r="J8" s="13" t="s">
        <v>625</v>
      </c>
      <c r="K8" s="51" t="s">
        <v>626</v>
      </c>
      <c r="L8" s="52" t="s">
        <v>627</v>
      </c>
      <c r="M8" s="53" t="s">
        <v>628</v>
      </c>
      <c r="R8" s="2"/>
    </row>
    <row r="9" spans="1:20" ht="60" customHeight="1" x14ac:dyDescent="0.55000000000000004">
      <c r="A9" s="1" t="s">
        <v>6</v>
      </c>
      <c r="B9" s="7" t="s">
        <v>629</v>
      </c>
      <c r="C9" s="11" t="s">
        <v>630</v>
      </c>
      <c r="D9" s="8" t="s">
        <v>631</v>
      </c>
      <c r="E9" s="14" t="s">
        <v>632</v>
      </c>
      <c r="F9" s="10" t="s">
        <v>633</v>
      </c>
      <c r="G9" s="15" t="s">
        <v>634</v>
      </c>
      <c r="H9" s="12" t="s">
        <v>635</v>
      </c>
      <c r="I9" s="9" t="s">
        <v>636</v>
      </c>
      <c r="J9" s="13" t="s">
        <v>637</v>
      </c>
      <c r="K9" s="51" t="s">
        <v>638</v>
      </c>
      <c r="L9" s="52" t="s">
        <v>639</v>
      </c>
      <c r="M9" s="53" t="s">
        <v>640</v>
      </c>
    </row>
    <row r="10" spans="1:20" ht="60" customHeight="1" x14ac:dyDescent="0.55000000000000004">
      <c r="A10" s="1" t="s">
        <v>7</v>
      </c>
      <c r="B10" s="7" t="s">
        <v>641</v>
      </c>
      <c r="C10" s="11" t="s">
        <v>642</v>
      </c>
      <c r="D10" s="8" t="s">
        <v>643</v>
      </c>
      <c r="E10" s="14" t="s">
        <v>644</v>
      </c>
      <c r="F10" s="10" t="s">
        <v>645</v>
      </c>
      <c r="G10" s="15" t="s">
        <v>646</v>
      </c>
      <c r="H10" s="12" t="s">
        <v>647</v>
      </c>
      <c r="I10" s="9" t="s">
        <v>648</v>
      </c>
      <c r="J10" s="13" t="s">
        <v>649</v>
      </c>
      <c r="K10" s="51" t="s">
        <v>650</v>
      </c>
      <c r="L10" s="52" t="s">
        <v>651</v>
      </c>
      <c r="M10" s="53" t="s">
        <v>652</v>
      </c>
    </row>
    <row r="11" spans="1:20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0" ht="21.75" customHeight="1" x14ac:dyDescent="0.55000000000000004">
      <c r="E12" s="20">
        <v>131.80000000000001</v>
      </c>
    </row>
    <row r="13" spans="1:20" ht="17.25" customHeight="1" x14ac:dyDescent="0.55000000000000004">
      <c r="A13" s="2"/>
      <c r="B13" s="60" t="s">
        <v>653</v>
      </c>
      <c r="C13" s="61" t="s">
        <v>654</v>
      </c>
      <c r="D13" s="2"/>
    </row>
    <row r="14" spans="1:20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</row>
    <row r="15" spans="1:20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</row>
    <row r="16" spans="1:20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</row>
    <row r="17" spans="2:20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</row>
    <row r="18" spans="2:20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</row>
    <row r="19" spans="2:20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</row>
    <row r="20" spans="2:20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</row>
    <row r="21" spans="2:20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</row>
    <row r="22" spans="2:20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</row>
    <row r="23" spans="2:20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0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/>
      <c r="K24"/>
    </row>
    <row r="25" spans="2:20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/>
      <c r="K25"/>
    </row>
    <row r="26" spans="2:20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0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0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0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0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0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0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54B5-5887-1449-B7EB-3C0D461F72CB}">
  <dimension ref="A1:T64"/>
  <sheetViews>
    <sheetView zoomScale="90" zoomScaleNormal="90" workbookViewId="0">
      <selection sqref="A1:D1"/>
    </sheetView>
  </sheetViews>
  <sheetFormatPr baseColWidth="10" defaultColWidth="9.1640625" defaultRowHeight="47" x14ac:dyDescent="0.55000000000000004"/>
  <cols>
    <col min="1" max="1" width="10.33203125" style="1" customWidth="1"/>
    <col min="2" max="2" width="24.5" style="1" bestFit="1" customWidth="1"/>
    <col min="3" max="3" width="24" style="1" customWidth="1"/>
    <col min="4" max="4" width="24.1640625" style="1" bestFit="1" customWidth="1"/>
    <col min="5" max="5" width="24.5" style="1" bestFit="1" customWidth="1"/>
    <col min="6" max="6" width="26.5" style="1" bestFit="1" customWidth="1"/>
    <col min="7" max="7" width="25.3320312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/>
    <col min="20" max="20" width="9" style="1" bestFit="1" customWidth="1"/>
    <col min="21" max="16384" width="9.1640625" style="1"/>
  </cols>
  <sheetData>
    <row r="1" spans="1:20" s="3" customFormat="1" ht="29.75" customHeight="1" x14ac:dyDescent="0.2">
      <c r="A1" s="62" t="s">
        <v>658</v>
      </c>
      <c r="B1" s="62"/>
      <c r="C1" s="62"/>
      <c r="D1" s="62"/>
      <c r="E1" s="63" t="s">
        <v>457</v>
      </c>
      <c r="F1" s="62"/>
      <c r="G1" s="62"/>
      <c r="H1" s="62"/>
      <c r="I1" s="62"/>
      <c r="J1" s="62"/>
      <c r="K1" s="62"/>
      <c r="L1" s="62"/>
      <c r="M1" s="62"/>
    </row>
    <row r="2" spans="1:20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0" ht="60" customHeight="1" x14ac:dyDescent="0.55000000000000004">
      <c r="A3" s="1" t="s">
        <v>0</v>
      </c>
      <c r="B3" s="7" t="s">
        <v>359</v>
      </c>
      <c r="C3" s="11" t="s">
        <v>360</v>
      </c>
      <c r="D3" s="8" t="s">
        <v>361</v>
      </c>
      <c r="E3" s="14" t="s">
        <v>362</v>
      </c>
      <c r="F3" s="10" t="s">
        <v>363</v>
      </c>
      <c r="G3" s="15" t="s">
        <v>364</v>
      </c>
      <c r="H3" s="12" t="s">
        <v>365</v>
      </c>
      <c r="I3" s="9" t="s">
        <v>366</v>
      </c>
      <c r="J3" s="13" t="s">
        <v>367</v>
      </c>
      <c r="K3" s="51" t="s">
        <v>368</v>
      </c>
      <c r="L3" s="52" t="s">
        <v>369</v>
      </c>
      <c r="M3" s="53" t="s">
        <v>370</v>
      </c>
    </row>
    <row r="4" spans="1:20" ht="60" customHeight="1" x14ac:dyDescent="0.55000000000000004">
      <c r="A4" s="1" t="s">
        <v>1</v>
      </c>
      <c r="B4" s="7" t="s">
        <v>371</v>
      </c>
      <c r="C4" s="11" t="s">
        <v>372</v>
      </c>
      <c r="D4" s="8" t="s">
        <v>373</v>
      </c>
      <c r="E4" s="14" t="s">
        <v>374</v>
      </c>
      <c r="F4" s="10" t="s">
        <v>375</v>
      </c>
      <c r="G4" s="15" t="s">
        <v>376</v>
      </c>
      <c r="H4" s="12" t="s">
        <v>377</v>
      </c>
      <c r="I4" s="9" t="s">
        <v>378</v>
      </c>
      <c r="J4" s="13" t="s">
        <v>379</v>
      </c>
      <c r="K4" s="51" t="s">
        <v>380</v>
      </c>
      <c r="L4" s="52" t="s">
        <v>381</v>
      </c>
      <c r="M4" s="53" t="s">
        <v>382</v>
      </c>
    </row>
    <row r="5" spans="1:20" ht="60" customHeight="1" x14ac:dyDescent="0.55000000000000004">
      <c r="A5" s="1" t="s">
        <v>2</v>
      </c>
      <c r="B5" s="7" t="s">
        <v>383</v>
      </c>
      <c r="C5" s="11" t="s">
        <v>384</v>
      </c>
      <c r="D5" s="8" t="s">
        <v>385</v>
      </c>
      <c r="E5" s="14" t="s">
        <v>386</v>
      </c>
      <c r="F5" s="10" t="s">
        <v>387</v>
      </c>
      <c r="G5" s="15" t="s">
        <v>388</v>
      </c>
      <c r="H5" s="12" t="s">
        <v>389</v>
      </c>
      <c r="I5" s="9" t="s">
        <v>390</v>
      </c>
      <c r="J5" s="13" t="s">
        <v>391</v>
      </c>
      <c r="K5" s="51" t="s">
        <v>392</v>
      </c>
      <c r="L5" s="52" t="s">
        <v>393</v>
      </c>
      <c r="M5" s="53" t="s">
        <v>394</v>
      </c>
    </row>
    <row r="6" spans="1:20" ht="60" customHeight="1" x14ac:dyDescent="0.55000000000000004">
      <c r="A6" s="1" t="s">
        <v>3</v>
      </c>
      <c r="B6" s="7" t="s">
        <v>395</v>
      </c>
      <c r="C6" s="11" t="s">
        <v>396</v>
      </c>
      <c r="D6" s="8" t="s">
        <v>397</v>
      </c>
      <c r="E6" s="14" t="s">
        <v>398</v>
      </c>
      <c r="F6" s="10" t="s">
        <v>399</v>
      </c>
      <c r="G6" s="15" t="s">
        <v>400</v>
      </c>
      <c r="H6" s="12" t="s">
        <v>401</v>
      </c>
      <c r="I6" s="9" t="s">
        <v>402</v>
      </c>
      <c r="J6" s="13" t="s">
        <v>403</v>
      </c>
      <c r="K6" s="51" t="s">
        <v>404</v>
      </c>
      <c r="L6" s="52" t="s">
        <v>405</v>
      </c>
      <c r="M6" s="53" t="s">
        <v>406</v>
      </c>
    </row>
    <row r="7" spans="1:20" ht="60" customHeight="1" x14ac:dyDescent="0.55000000000000004">
      <c r="A7" s="1" t="s">
        <v>4</v>
      </c>
      <c r="B7" s="7" t="s">
        <v>407</v>
      </c>
      <c r="C7" s="11" t="s">
        <v>408</v>
      </c>
      <c r="D7" s="8" t="s">
        <v>409</v>
      </c>
      <c r="E7" s="14" t="s">
        <v>410</v>
      </c>
      <c r="F7" s="10" t="s">
        <v>411</v>
      </c>
      <c r="G7" s="15" t="s">
        <v>412</v>
      </c>
      <c r="H7" s="12" t="s">
        <v>413</v>
      </c>
      <c r="I7" s="9" t="s">
        <v>414</v>
      </c>
      <c r="J7" s="13" t="s">
        <v>415</v>
      </c>
      <c r="K7" s="51" t="s">
        <v>416</v>
      </c>
      <c r="L7" s="52" t="s">
        <v>417</v>
      </c>
      <c r="M7" s="53" t="s">
        <v>418</v>
      </c>
    </row>
    <row r="8" spans="1:20" ht="60" customHeight="1" x14ac:dyDescent="0.55000000000000004">
      <c r="A8" s="1" t="s">
        <v>5</v>
      </c>
      <c r="B8" s="7" t="s">
        <v>419</v>
      </c>
      <c r="C8" s="11" t="s">
        <v>420</v>
      </c>
      <c r="D8" s="8" t="s">
        <v>421</v>
      </c>
      <c r="E8" s="14" t="s">
        <v>422</v>
      </c>
      <c r="F8" s="10" t="s">
        <v>423</v>
      </c>
      <c r="G8" s="15" t="s">
        <v>424</v>
      </c>
      <c r="H8" s="12" t="s">
        <v>425</v>
      </c>
      <c r="I8" s="9" t="s">
        <v>426</v>
      </c>
      <c r="J8" s="13" t="s">
        <v>427</v>
      </c>
      <c r="K8" s="51" t="s">
        <v>428</v>
      </c>
      <c r="L8" s="52" t="s">
        <v>429</v>
      </c>
      <c r="M8" s="53" t="s">
        <v>430</v>
      </c>
      <c r="R8" s="2"/>
    </row>
    <row r="9" spans="1:20" ht="60" customHeight="1" x14ac:dyDescent="0.55000000000000004">
      <c r="A9" s="1" t="s">
        <v>6</v>
      </c>
      <c r="B9" s="7" t="s">
        <v>431</v>
      </c>
      <c r="C9" s="11" t="s">
        <v>432</v>
      </c>
      <c r="D9" s="8" t="s">
        <v>433</v>
      </c>
      <c r="E9" s="14" t="s">
        <v>434</v>
      </c>
      <c r="F9" s="10" t="s">
        <v>435</v>
      </c>
      <c r="G9" s="15" t="s">
        <v>436</v>
      </c>
      <c r="H9" s="12" t="s">
        <v>437</v>
      </c>
      <c r="I9" s="9" t="s">
        <v>438</v>
      </c>
      <c r="J9" s="13" t="s">
        <v>439</v>
      </c>
      <c r="K9" s="51" t="s">
        <v>440</v>
      </c>
      <c r="L9" s="52" t="s">
        <v>441</v>
      </c>
      <c r="M9" s="53" t="s">
        <v>442</v>
      </c>
    </row>
    <row r="10" spans="1:20" ht="60" customHeight="1" x14ac:dyDescent="0.55000000000000004">
      <c r="A10" s="1" t="s">
        <v>7</v>
      </c>
      <c r="B10" s="7" t="s">
        <v>443</v>
      </c>
      <c r="C10" s="11" t="s">
        <v>444</v>
      </c>
      <c r="D10" s="8" t="s">
        <v>445</v>
      </c>
      <c r="E10" s="14" t="s">
        <v>446</v>
      </c>
      <c r="F10" s="10" t="s">
        <v>447</v>
      </c>
      <c r="G10" s="15" t="s">
        <v>448</v>
      </c>
      <c r="H10" s="12" t="s">
        <v>449</v>
      </c>
      <c r="I10" s="9" t="s">
        <v>450</v>
      </c>
      <c r="J10" s="13" t="s">
        <v>451</v>
      </c>
      <c r="K10" s="51" t="s">
        <v>452</v>
      </c>
      <c r="L10" s="52" t="s">
        <v>453</v>
      </c>
      <c r="M10" s="53" t="s">
        <v>454</v>
      </c>
    </row>
    <row r="11" spans="1:20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0" ht="21.75" customHeight="1" x14ac:dyDescent="0.55000000000000004">
      <c r="E12" s="20">
        <v>131.80000000000001</v>
      </c>
    </row>
    <row r="13" spans="1:20" ht="17.25" customHeight="1" x14ac:dyDescent="0.55000000000000004">
      <c r="A13" s="2"/>
      <c r="B13" s="60" t="s">
        <v>653</v>
      </c>
      <c r="C13" s="61" t="s">
        <v>654</v>
      </c>
      <c r="D13" s="2"/>
    </row>
    <row r="14" spans="1:20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</row>
    <row r="15" spans="1:20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</row>
    <row r="16" spans="1:20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</row>
    <row r="17" spans="2:20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</row>
    <row r="18" spans="2:20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</row>
    <row r="19" spans="2:20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</row>
    <row r="20" spans="2:20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</row>
    <row r="21" spans="2:20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</row>
    <row r="22" spans="2:20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</row>
    <row r="23" spans="2:20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0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/>
      <c r="K24"/>
    </row>
    <row r="25" spans="2:20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/>
      <c r="K25"/>
    </row>
    <row r="26" spans="2:20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0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0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0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0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0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0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tabSelected="1" topLeftCell="A2" zoomScale="90" zoomScaleNormal="90" workbookViewId="0">
      <selection sqref="A1:D1"/>
    </sheetView>
  </sheetViews>
  <sheetFormatPr baseColWidth="10" defaultColWidth="9.1640625" defaultRowHeight="47" x14ac:dyDescent="0.55000000000000004"/>
  <cols>
    <col min="1" max="1" width="10.33203125" style="1" customWidth="1"/>
    <col min="2" max="2" width="24.5" style="1" bestFit="1" customWidth="1"/>
    <col min="3" max="3" width="24" style="1" customWidth="1"/>
    <col min="4" max="4" width="24.1640625" style="1" bestFit="1" customWidth="1"/>
    <col min="5" max="5" width="24.5" style="1" bestFit="1" customWidth="1"/>
    <col min="6" max="6" width="26.5" style="1" bestFit="1" customWidth="1"/>
    <col min="7" max="7" width="25.33203125" style="1" customWidth="1"/>
    <col min="8" max="8" width="31.83203125" style="1" bestFit="1" customWidth="1"/>
    <col min="9" max="10" width="25.33203125" style="1" bestFit="1" customWidth="1"/>
    <col min="11" max="13" width="23.83203125" style="1" bestFit="1" customWidth="1"/>
    <col min="14" max="15" width="8.6640625" style="1" customWidth="1"/>
    <col min="16" max="17" width="9.1640625" style="1"/>
    <col min="18" max="18" width="20.1640625" style="1" bestFit="1" customWidth="1"/>
    <col min="19" max="19" width="9.1640625" style="1" customWidth="1"/>
    <col min="20" max="20" width="9" style="1" bestFit="1" customWidth="1"/>
    <col min="21" max="16384" width="9.1640625" style="1"/>
  </cols>
  <sheetData>
    <row r="1" spans="1:20" s="3" customFormat="1" ht="29.75" customHeight="1" x14ac:dyDescent="0.2">
      <c r="A1" s="62" t="s">
        <v>659</v>
      </c>
      <c r="B1" s="62"/>
      <c r="C1" s="62"/>
      <c r="D1" s="62"/>
      <c r="E1" s="63" t="s">
        <v>26</v>
      </c>
      <c r="F1" s="62"/>
      <c r="G1" s="62"/>
      <c r="H1" s="62"/>
      <c r="I1" s="62"/>
      <c r="J1" s="62"/>
      <c r="K1" s="62"/>
      <c r="L1" s="62"/>
      <c r="M1" s="62"/>
    </row>
    <row r="2" spans="1:20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20" ht="60" customHeight="1" x14ac:dyDescent="0.55000000000000004">
      <c r="A3" s="1" t="s">
        <v>0</v>
      </c>
      <c r="B3" s="7" t="s">
        <v>27</v>
      </c>
      <c r="C3" s="11" t="s">
        <v>28</v>
      </c>
      <c r="D3" s="8" t="s">
        <v>29</v>
      </c>
      <c r="E3" s="14" t="s">
        <v>51</v>
      </c>
      <c r="F3" s="10" t="s">
        <v>52</v>
      </c>
      <c r="G3" s="15" t="s">
        <v>53</v>
      </c>
      <c r="H3" s="12" t="s">
        <v>75</v>
      </c>
      <c r="I3" s="9" t="s">
        <v>76</v>
      </c>
      <c r="J3" s="13" t="s">
        <v>77</v>
      </c>
      <c r="K3" s="51" t="s">
        <v>99</v>
      </c>
      <c r="L3" s="52" t="s">
        <v>100</v>
      </c>
      <c r="M3" s="53" t="s">
        <v>101</v>
      </c>
    </row>
    <row r="4" spans="1:20" ht="60" customHeight="1" x14ac:dyDescent="0.55000000000000004">
      <c r="A4" s="1" t="s">
        <v>1</v>
      </c>
      <c r="B4" s="7" t="s">
        <v>30</v>
      </c>
      <c r="C4" s="11" t="s">
        <v>31</v>
      </c>
      <c r="D4" s="8" t="s">
        <v>32</v>
      </c>
      <c r="E4" s="14" t="s">
        <v>54</v>
      </c>
      <c r="F4" s="10" t="s">
        <v>56</v>
      </c>
      <c r="G4" s="15" t="s">
        <v>55</v>
      </c>
      <c r="H4" s="12" t="s">
        <v>78</v>
      </c>
      <c r="I4" s="9" t="s">
        <v>79</v>
      </c>
      <c r="J4" s="13" t="s">
        <v>80</v>
      </c>
      <c r="K4" s="51" t="s">
        <v>102</v>
      </c>
      <c r="L4" s="52" t="s">
        <v>103</v>
      </c>
      <c r="M4" s="53" t="s">
        <v>104</v>
      </c>
    </row>
    <row r="5" spans="1:20" ht="60" customHeight="1" x14ac:dyDescent="0.55000000000000004">
      <c r="A5" s="1" t="s">
        <v>2</v>
      </c>
      <c r="B5" s="7" t="s">
        <v>33</v>
      </c>
      <c r="C5" s="11" t="s">
        <v>34</v>
      </c>
      <c r="D5" s="8" t="s">
        <v>35</v>
      </c>
      <c r="E5" s="14" t="s">
        <v>57</v>
      </c>
      <c r="F5" s="10" t="s">
        <v>58</v>
      </c>
      <c r="G5" s="15" t="s">
        <v>59</v>
      </c>
      <c r="H5" s="12" t="s">
        <v>81</v>
      </c>
      <c r="I5" s="9" t="s">
        <v>82</v>
      </c>
      <c r="J5" s="13" t="s">
        <v>83</v>
      </c>
      <c r="K5" s="51" t="s">
        <v>105</v>
      </c>
      <c r="L5" s="52" t="s">
        <v>106</v>
      </c>
      <c r="M5" s="53" t="s">
        <v>107</v>
      </c>
    </row>
    <row r="6" spans="1:20" ht="60" customHeight="1" x14ac:dyDescent="0.55000000000000004">
      <c r="A6" s="1" t="s">
        <v>3</v>
      </c>
      <c r="B6" s="7" t="s">
        <v>36</v>
      </c>
      <c r="C6" s="11" t="s">
        <v>37</v>
      </c>
      <c r="D6" s="8" t="s">
        <v>38</v>
      </c>
      <c r="E6" s="14" t="s">
        <v>60</v>
      </c>
      <c r="F6" s="10" t="s">
        <v>61</v>
      </c>
      <c r="G6" s="15" t="s">
        <v>62</v>
      </c>
      <c r="H6" s="12" t="s">
        <v>84</v>
      </c>
      <c r="I6" s="9" t="s">
        <v>85</v>
      </c>
      <c r="J6" s="13" t="s">
        <v>86</v>
      </c>
      <c r="K6" s="51" t="s">
        <v>108</v>
      </c>
      <c r="L6" s="52" t="s">
        <v>109</v>
      </c>
      <c r="M6" s="53" t="s">
        <v>110</v>
      </c>
    </row>
    <row r="7" spans="1:20" ht="60" customHeight="1" x14ac:dyDescent="0.55000000000000004">
      <c r="A7" s="1" t="s">
        <v>4</v>
      </c>
      <c r="B7" s="7" t="s">
        <v>39</v>
      </c>
      <c r="C7" s="11" t="s">
        <v>40</v>
      </c>
      <c r="D7" s="8" t="s">
        <v>41</v>
      </c>
      <c r="E7" s="14" t="s">
        <v>63</v>
      </c>
      <c r="F7" s="10" t="s">
        <v>64</v>
      </c>
      <c r="G7" s="15" t="s">
        <v>65</v>
      </c>
      <c r="H7" s="12" t="s">
        <v>87</v>
      </c>
      <c r="I7" s="9" t="s">
        <v>88</v>
      </c>
      <c r="J7" s="13" t="s">
        <v>89</v>
      </c>
      <c r="K7" s="51" t="s">
        <v>111</v>
      </c>
      <c r="L7" s="52" t="s">
        <v>112</v>
      </c>
      <c r="M7" s="53" t="s">
        <v>113</v>
      </c>
    </row>
    <row r="8" spans="1:20" ht="60" customHeight="1" x14ac:dyDescent="0.55000000000000004">
      <c r="A8" s="1" t="s">
        <v>5</v>
      </c>
      <c r="B8" s="7" t="s">
        <v>42</v>
      </c>
      <c r="C8" s="11" t="s">
        <v>43</v>
      </c>
      <c r="D8" s="8" t="s">
        <v>44</v>
      </c>
      <c r="E8" s="14" t="s">
        <v>66</v>
      </c>
      <c r="F8" s="10" t="s">
        <v>67</v>
      </c>
      <c r="G8" s="15" t="s">
        <v>68</v>
      </c>
      <c r="H8" s="12" t="s">
        <v>90</v>
      </c>
      <c r="I8" s="9" t="s">
        <v>91</v>
      </c>
      <c r="J8" s="13" t="s">
        <v>92</v>
      </c>
      <c r="K8" s="51" t="s">
        <v>114</v>
      </c>
      <c r="L8" s="52" t="s">
        <v>115</v>
      </c>
      <c r="M8" s="53" t="s">
        <v>116</v>
      </c>
      <c r="R8" s="2"/>
    </row>
    <row r="9" spans="1:20" ht="60" customHeight="1" x14ac:dyDescent="0.55000000000000004">
      <c r="A9" s="1" t="s">
        <v>6</v>
      </c>
      <c r="B9" s="7" t="s">
        <v>45</v>
      </c>
      <c r="C9" s="11" t="s">
        <v>46</v>
      </c>
      <c r="D9" s="8" t="s">
        <v>47</v>
      </c>
      <c r="E9" s="14" t="s">
        <v>69</v>
      </c>
      <c r="F9" s="10" t="s">
        <v>70</v>
      </c>
      <c r="G9" s="15" t="s">
        <v>71</v>
      </c>
      <c r="H9" s="12" t="s">
        <v>93</v>
      </c>
      <c r="I9" s="9" t="s">
        <v>94</v>
      </c>
      <c r="J9" s="13" t="s">
        <v>95</v>
      </c>
      <c r="K9" s="51" t="s">
        <v>117</v>
      </c>
      <c r="L9" s="52" t="s">
        <v>118</v>
      </c>
      <c r="M9" s="53" t="s">
        <v>119</v>
      </c>
    </row>
    <row r="10" spans="1:20" ht="60" customHeight="1" x14ac:dyDescent="0.55000000000000004">
      <c r="A10" s="1" t="s">
        <v>7</v>
      </c>
      <c r="B10" s="7" t="s">
        <v>48</v>
      </c>
      <c r="C10" s="11" t="s">
        <v>49</v>
      </c>
      <c r="D10" s="8" t="s">
        <v>50</v>
      </c>
      <c r="E10" s="14" t="s">
        <v>72</v>
      </c>
      <c r="F10" s="10" t="s">
        <v>73</v>
      </c>
      <c r="G10" s="15" t="s">
        <v>74</v>
      </c>
      <c r="H10" s="12" t="s">
        <v>96</v>
      </c>
      <c r="I10" s="9" t="s">
        <v>97</v>
      </c>
      <c r="J10" s="13" t="s">
        <v>98</v>
      </c>
      <c r="K10" s="51" t="s">
        <v>120</v>
      </c>
      <c r="L10" s="52" t="s">
        <v>121</v>
      </c>
      <c r="M10" s="53" t="s">
        <v>122</v>
      </c>
    </row>
    <row r="11" spans="1:20" s="5" customFormat="1" ht="19" customHeight="1" x14ac:dyDescent="0.2">
      <c r="A11" s="4" t="s">
        <v>8</v>
      </c>
      <c r="G11" s="64" t="s">
        <v>9</v>
      </c>
      <c r="H11" s="64"/>
      <c r="I11" s="64"/>
      <c r="J11" s="64"/>
      <c r="K11" s="64"/>
      <c r="L11" s="6"/>
      <c r="M11" s="6"/>
    </row>
    <row r="12" spans="1:20" ht="21.75" customHeight="1" x14ac:dyDescent="0.55000000000000004">
      <c r="E12" s="20">
        <v>131.80000000000001</v>
      </c>
    </row>
    <row r="13" spans="1:20" ht="17.25" customHeight="1" x14ac:dyDescent="0.55000000000000004">
      <c r="A13" s="2"/>
      <c r="B13" s="60" t="s">
        <v>653</v>
      </c>
      <c r="C13" s="61" t="s">
        <v>654</v>
      </c>
      <c r="D13" s="2"/>
    </row>
    <row r="14" spans="1:20" x14ac:dyDescent="0.55000000000000004">
      <c r="B14" s="16" t="s">
        <v>11</v>
      </c>
      <c r="C14" s="18"/>
      <c r="D14" s="18"/>
      <c r="E14" s="18"/>
      <c r="F14" s="18"/>
      <c r="G14" s="19"/>
      <c r="H14" s="17"/>
      <c r="I14" s="17"/>
      <c r="J14"/>
      <c r="K14" s="55" t="s">
        <v>126</v>
      </c>
      <c r="R14"/>
      <c r="S14"/>
      <c r="T14"/>
    </row>
    <row r="15" spans="1:20" ht="48" thickBot="1" x14ac:dyDescent="0.6">
      <c r="B15" s="23"/>
      <c r="C15" s="24" t="s">
        <v>12</v>
      </c>
      <c r="D15" s="25" t="s">
        <v>13</v>
      </c>
      <c r="E15" s="25" t="s">
        <v>14</v>
      </c>
      <c r="F15" s="25" t="s">
        <v>15</v>
      </c>
      <c r="G15" s="26" t="s">
        <v>10</v>
      </c>
      <c r="H15" s="27" t="s">
        <v>16</v>
      </c>
      <c r="I15" s="24" t="s">
        <v>17</v>
      </c>
      <c r="J15"/>
      <c r="K15" s="54" t="s">
        <v>127</v>
      </c>
      <c r="R15"/>
      <c r="S15"/>
      <c r="T15"/>
    </row>
    <row r="16" spans="1:20" ht="48" thickBot="1" x14ac:dyDescent="0.6">
      <c r="B16" s="21" t="s">
        <v>18</v>
      </c>
      <c r="C16" s="28">
        <f>20-H16</f>
        <v>7.4</v>
      </c>
      <c r="D16" s="29">
        <v>0.8</v>
      </c>
      <c r="E16" s="29">
        <v>0.8</v>
      </c>
      <c r="F16" s="29">
        <v>10</v>
      </c>
      <c r="G16" s="30">
        <v>1</v>
      </c>
      <c r="H16" s="31">
        <f>SUM(D16:G16)</f>
        <v>12.6</v>
      </c>
      <c r="I16" s="28">
        <f>SUM(C16:G16)</f>
        <v>20</v>
      </c>
      <c r="J16"/>
      <c r="K16" s="17" t="s">
        <v>123</v>
      </c>
      <c r="R16"/>
      <c r="S16"/>
      <c r="T16"/>
    </row>
    <row r="17" spans="2:20" x14ac:dyDescent="0.55000000000000004">
      <c r="B17" s="21" t="s">
        <v>19</v>
      </c>
      <c r="C17" s="28">
        <f>C16*0.1</f>
        <v>0.7400000000000001</v>
      </c>
      <c r="D17" s="26">
        <f t="shared" ref="D17:G17" si="0">D16*0.1</f>
        <v>8.0000000000000016E-2</v>
      </c>
      <c r="E17" s="26">
        <f t="shared" si="0"/>
        <v>8.0000000000000016E-2</v>
      </c>
      <c r="F17" s="26">
        <f t="shared" si="0"/>
        <v>1</v>
      </c>
      <c r="G17" s="26">
        <f t="shared" si="0"/>
        <v>0.1</v>
      </c>
      <c r="H17" s="32"/>
      <c r="I17" s="22"/>
      <c r="J17"/>
      <c r="L17" s="17" t="s">
        <v>124</v>
      </c>
      <c r="R17"/>
      <c r="S17"/>
      <c r="T17"/>
    </row>
    <row r="18" spans="2:20" x14ac:dyDescent="0.55000000000000004">
      <c r="B18" s="21" t="s">
        <v>20</v>
      </c>
      <c r="C18" s="28">
        <f>C16+C17</f>
        <v>8.14</v>
      </c>
      <c r="D18" s="26">
        <f t="shared" ref="D18:G18" si="1">D16+D17</f>
        <v>0.88000000000000012</v>
      </c>
      <c r="E18" s="26">
        <f t="shared" si="1"/>
        <v>0.88000000000000012</v>
      </c>
      <c r="F18" s="26">
        <f t="shared" si="1"/>
        <v>11</v>
      </c>
      <c r="G18" s="26">
        <f t="shared" si="1"/>
        <v>1.1000000000000001</v>
      </c>
      <c r="H18" s="32"/>
      <c r="I18" s="22"/>
      <c r="J18" s="5"/>
      <c r="K18" s="17" t="s">
        <v>125</v>
      </c>
      <c r="R18"/>
      <c r="S18"/>
      <c r="T18"/>
    </row>
    <row r="19" spans="2:20" ht="48" thickBot="1" x14ac:dyDescent="0.6">
      <c r="B19" s="21"/>
      <c r="C19" s="26"/>
      <c r="D19" s="26"/>
      <c r="E19" s="26"/>
      <c r="F19" s="26"/>
      <c r="G19" s="26"/>
      <c r="H19" s="21"/>
      <c r="I19" s="21"/>
      <c r="J19" s="5"/>
      <c r="K19"/>
      <c r="R19"/>
      <c r="S19"/>
      <c r="T19"/>
    </row>
    <row r="20" spans="2:20" ht="48" thickBot="1" x14ac:dyDescent="0.6">
      <c r="B20" s="33">
        <v>3</v>
      </c>
      <c r="C20" s="34" t="s">
        <v>25</v>
      </c>
      <c r="D20" s="26"/>
      <c r="E20" s="26"/>
      <c r="F20" s="26"/>
      <c r="G20" s="26"/>
      <c r="H20" s="21"/>
      <c r="J20" s="5"/>
      <c r="K20"/>
      <c r="R20"/>
      <c r="S20"/>
      <c r="T20"/>
    </row>
    <row r="21" spans="2:20" x14ac:dyDescent="0.55000000000000004">
      <c r="B21" s="21"/>
      <c r="C21" s="35" t="s">
        <v>21</v>
      </c>
      <c r="D21" s="23" t="s">
        <v>22</v>
      </c>
      <c r="E21" s="23" t="s">
        <v>23</v>
      </c>
      <c r="F21" s="36" t="s">
        <v>24</v>
      </c>
      <c r="G21" s="37" t="s">
        <v>164</v>
      </c>
      <c r="H21" s="37" t="s">
        <v>165</v>
      </c>
      <c r="I21" s="21"/>
      <c r="J21" s="5"/>
      <c r="K21"/>
      <c r="R21"/>
      <c r="S21"/>
      <c r="T21"/>
    </row>
    <row r="22" spans="2:20" x14ac:dyDescent="0.55000000000000004">
      <c r="B22" s="38" t="s">
        <v>152</v>
      </c>
      <c r="C22" s="26">
        <f>C18*B20</f>
        <v>24.42</v>
      </c>
      <c r="D22" s="29">
        <f>D18*B20</f>
        <v>2.6400000000000006</v>
      </c>
      <c r="E22" s="29">
        <f>E18*B20</f>
        <v>2.6400000000000006</v>
      </c>
      <c r="F22" s="45">
        <f>F18*B20</f>
        <v>33</v>
      </c>
      <c r="G22" s="46">
        <f>G18*B20</f>
        <v>3.3000000000000003</v>
      </c>
      <c r="H22" s="47">
        <f>SUM(C22:F22)</f>
        <v>62.7</v>
      </c>
      <c r="I22" s="21" t="s">
        <v>166</v>
      </c>
      <c r="J22" s="5"/>
      <c r="K22"/>
      <c r="R22"/>
      <c r="S22"/>
      <c r="T22"/>
    </row>
    <row r="23" spans="2:20" x14ac:dyDescent="0.55000000000000004">
      <c r="B23" s="38" t="s">
        <v>153</v>
      </c>
      <c r="C23" s="26">
        <f>C18*B20</f>
        <v>24.42</v>
      </c>
      <c r="D23" s="26">
        <f>D18*B20</f>
        <v>2.6400000000000006</v>
      </c>
      <c r="E23" s="26">
        <f>E18*B20</f>
        <v>2.6400000000000006</v>
      </c>
      <c r="F23" s="26">
        <f>F18*B20</f>
        <v>33</v>
      </c>
      <c r="G23" s="39">
        <f>G18*B20</f>
        <v>3.3000000000000003</v>
      </c>
      <c r="H23" s="40">
        <f t="shared" ref="H23:H28" si="2">SUM(C23:F23)</f>
        <v>62.7</v>
      </c>
      <c r="I23" s="21"/>
      <c r="J23" s="5"/>
      <c r="K23"/>
    </row>
    <row r="24" spans="2:20" x14ac:dyDescent="0.55000000000000004">
      <c r="B24" s="38" t="s">
        <v>154</v>
      </c>
      <c r="C24" s="26">
        <f>C18*B20</f>
        <v>24.42</v>
      </c>
      <c r="D24" s="26">
        <f>E18*B20</f>
        <v>2.6400000000000006</v>
      </c>
      <c r="E24" s="26">
        <f>E18*B20</f>
        <v>2.6400000000000006</v>
      </c>
      <c r="F24" s="26">
        <f>F18*B20</f>
        <v>33</v>
      </c>
      <c r="G24" s="39">
        <f>G18*B20</f>
        <v>3.3000000000000003</v>
      </c>
      <c r="H24" s="40">
        <f t="shared" si="2"/>
        <v>62.7</v>
      </c>
      <c r="I24" s="21"/>
      <c r="J24" s="5"/>
      <c r="K24"/>
    </row>
    <row r="25" spans="2:20" x14ac:dyDescent="0.55000000000000004">
      <c r="B25" s="38" t="s">
        <v>155</v>
      </c>
      <c r="C25" s="26">
        <f>C18*B20</f>
        <v>24.42</v>
      </c>
      <c r="D25" s="26">
        <f>E18*B20</f>
        <v>2.6400000000000006</v>
      </c>
      <c r="E25" s="26">
        <f>E18*B20</f>
        <v>2.6400000000000006</v>
      </c>
      <c r="F25" s="26">
        <f>F18*B20</f>
        <v>33</v>
      </c>
      <c r="G25" s="39">
        <f>G18*B20</f>
        <v>3.3000000000000003</v>
      </c>
      <c r="H25" s="40">
        <f t="shared" si="2"/>
        <v>62.7</v>
      </c>
      <c r="I25" s="21"/>
      <c r="J25" s="5"/>
      <c r="K25"/>
    </row>
    <row r="26" spans="2:20" x14ac:dyDescent="0.55000000000000004">
      <c r="B26" s="38" t="s">
        <v>156</v>
      </c>
      <c r="C26" s="26">
        <f>C18*B20</f>
        <v>24.42</v>
      </c>
      <c r="D26" s="26">
        <f>E18*B20</f>
        <v>2.6400000000000006</v>
      </c>
      <c r="E26" s="26">
        <f>E18*B20</f>
        <v>2.6400000000000006</v>
      </c>
      <c r="F26" s="26">
        <f>F18*B20</f>
        <v>33</v>
      </c>
      <c r="G26" s="39">
        <f>G18*B20</f>
        <v>3.3000000000000003</v>
      </c>
      <c r="H26" s="40">
        <f t="shared" si="2"/>
        <v>62.7</v>
      </c>
      <c r="I26" s="21"/>
      <c r="J26" s="5"/>
      <c r="K26"/>
    </row>
    <row r="27" spans="2:20" x14ac:dyDescent="0.55000000000000004">
      <c r="B27" s="38" t="s">
        <v>157</v>
      </c>
      <c r="C27" s="26">
        <f>C18*B20</f>
        <v>24.42</v>
      </c>
      <c r="D27" s="26">
        <f>D18*B20</f>
        <v>2.6400000000000006</v>
      </c>
      <c r="E27" s="26">
        <f>D18*B20</f>
        <v>2.6400000000000006</v>
      </c>
      <c r="F27" s="26">
        <f>F18*B20</f>
        <v>33</v>
      </c>
      <c r="G27" s="39">
        <f>G18*B20</f>
        <v>3.3000000000000003</v>
      </c>
      <c r="H27" s="40">
        <f t="shared" si="2"/>
        <v>62.7</v>
      </c>
      <c r="I27" s="21"/>
      <c r="J27" s="5"/>
      <c r="K27"/>
    </row>
    <row r="28" spans="2:20" x14ac:dyDescent="0.55000000000000004">
      <c r="B28" s="38" t="s">
        <v>158</v>
      </c>
      <c r="C28" s="26">
        <f>C18*B20</f>
        <v>24.42</v>
      </c>
      <c r="D28" s="26">
        <f>D18*B20</f>
        <v>2.6400000000000006</v>
      </c>
      <c r="E28" s="26">
        <f>D18*B20</f>
        <v>2.6400000000000006</v>
      </c>
      <c r="F28" s="26">
        <f>F18*B20</f>
        <v>33</v>
      </c>
      <c r="G28" s="39">
        <f>G18*B20</f>
        <v>3.3000000000000003</v>
      </c>
      <c r="H28" s="40">
        <f t="shared" si="2"/>
        <v>62.7</v>
      </c>
      <c r="I28" s="21"/>
      <c r="J28" s="5"/>
      <c r="K28"/>
    </row>
    <row r="29" spans="2:20" ht="48" thickBot="1" x14ac:dyDescent="0.6">
      <c r="B29" s="38" t="s">
        <v>159</v>
      </c>
      <c r="C29" s="28">
        <f>C18*B20</f>
        <v>24.42</v>
      </c>
      <c r="D29" s="26">
        <f>E18*B20</f>
        <v>2.6400000000000006</v>
      </c>
      <c r="E29" s="26">
        <f>E18*B20</f>
        <v>2.6400000000000006</v>
      </c>
      <c r="F29" s="26">
        <f>F18*B20</f>
        <v>33</v>
      </c>
      <c r="G29" s="41">
        <f>G18*B20</f>
        <v>3.3000000000000003</v>
      </c>
      <c r="H29" s="42">
        <f>SUM(C29:F29)</f>
        <v>62.7</v>
      </c>
      <c r="I29" s="21"/>
      <c r="J29" s="5"/>
      <c r="K29"/>
    </row>
    <row r="30" spans="2:20" ht="48" thickBot="1" x14ac:dyDescent="0.6">
      <c r="B30" s="26"/>
      <c r="C30" s="56">
        <f>SUM(C22:C29)</f>
        <v>195.36</v>
      </c>
      <c r="D30" s="57">
        <f>SUM(D22:D29)</f>
        <v>21.120000000000005</v>
      </c>
      <c r="E30" s="57">
        <f>SUM(E22:E29)</f>
        <v>21.120000000000005</v>
      </c>
      <c r="F30" s="58">
        <f>SUM(F22:F29)</f>
        <v>264</v>
      </c>
      <c r="G30" s="59" t="s">
        <v>163</v>
      </c>
      <c r="H30" s="26"/>
      <c r="I30" s="21"/>
      <c r="J30" s="5"/>
      <c r="K30"/>
    </row>
    <row r="31" spans="2:20" x14ac:dyDescent="0.55000000000000004">
      <c r="B31" s="26"/>
      <c r="C31" s="5"/>
      <c r="D31" s="5"/>
      <c r="E31" s="5"/>
      <c r="F31" s="5"/>
      <c r="G31" s="59"/>
      <c r="H31" s="26"/>
      <c r="I31" s="21"/>
      <c r="J31" s="5"/>
      <c r="K31"/>
    </row>
    <row r="32" spans="2:20" x14ac:dyDescent="0.55000000000000004">
      <c r="B32" s="21"/>
      <c r="C32" s="35" t="s">
        <v>21</v>
      </c>
      <c r="D32" s="23" t="s">
        <v>22</v>
      </c>
      <c r="E32" s="23" t="s">
        <v>23</v>
      </c>
      <c r="F32" s="36" t="s">
        <v>24</v>
      </c>
      <c r="G32" s="37" t="s">
        <v>164</v>
      </c>
      <c r="H32" s="37" t="s">
        <v>165</v>
      </c>
      <c r="I32" s="21"/>
      <c r="J32" s="5"/>
      <c r="K32"/>
    </row>
    <row r="33" spans="2:10" x14ac:dyDescent="0.55000000000000004">
      <c r="B33" s="43" t="s">
        <v>144</v>
      </c>
      <c r="C33" s="44">
        <f>C18*B20</f>
        <v>24.42</v>
      </c>
      <c r="D33" s="45">
        <f>D18*B20</f>
        <v>2.6400000000000006</v>
      </c>
      <c r="E33" s="45">
        <f>D18*B20</f>
        <v>2.6400000000000006</v>
      </c>
      <c r="F33" s="45">
        <f>F18*B20</f>
        <v>33</v>
      </c>
      <c r="G33" s="46">
        <f>G18*B20</f>
        <v>3.3000000000000003</v>
      </c>
      <c r="H33" s="47">
        <f>SUM(C29:F29)</f>
        <v>62.7</v>
      </c>
      <c r="I33" s="21" t="s">
        <v>166</v>
      </c>
      <c r="J33" s="5"/>
    </row>
    <row r="34" spans="2:10" x14ac:dyDescent="0.55000000000000004">
      <c r="B34" s="43" t="s">
        <v>145</v>
      </c>
      <c r="C34" s="28">
        <f>C18*B20</f>
        <v>24.42</v>
      </c>
      <c r="D34" s="26">
        <f>D18*B20</f>
        <v>2.6400000000000006</v>
      </c>
      <c r="E34" s="26">
        <f>D18*B20</f>
        <v>2.6400000000000006</v>
      </c>
      <c r="F34" s="26">
        <f>F18*B20</f>
        <v>33</v>
      </c>
      <c r="G34" s="39">
        <f>G18*B20</f>
        <v>3.3000000000000003</v>
      </c>
      <c r="H34" s="40">
        <f>SUM(C30:F30)</f>
        <v>501.6</v>
      </c>
      <c r="I34" s="21"/>
      <c r="J34" s="5"/>
    </row>
    <row r="35" spans="2:10" x14ac:dyDescent="0.55000000000000004">
      <c r="B35" s="43" t="s">
        <v>146</v>
      </c>
      <c r="C35" s="26">
        <f>C18*B20</f>
        <v>24.42</v>
      </c>
      <c r="D35" s="26">
        <f>D18*B20</f>
        <v>2.6400000000000006</v>
      </c>
      <c r="E35" s="26">
        <f>D18*B20</f>
        <v>2.6400000000000006</v>
      </c>
      <c r="F35" s="26">
        <f>F18*B20</f>
        <v>33</v>
      </c>
      <c r="G35" s="39">
        <f>G18*B20</f>
        <v>3.3000000000000003</v>
      </c>
      <c r="H35" s="40">
        <f t="shared" ref="H35:H37" si="3">SUM(C32:F32)</f>
        <v>0</v>
      </c>
      <c r="I35" s="21"/>
      <c r="J35" s="5"/>
    </row>
    <row r="36" spans="2:10" x14ac:dyDescent="0.55000000000000004">
      <c r="B36" s="43" t="s">
        <v>147</v>
      </c>
      <c r="C36" s="26">
        <f>C18*B20</f>
        <v>24.42</v>
      </c>
      <c r="D36" s="26">
        <f>D18*B20</f>
        <v>2.6400000000000006</v>
      </c>
      <c r="E36" s="26">
        <f>D18*B20</f>
        <v>2.6400000000000006</v>
      </c>
      <c r="F36" s="26">
        <f>F18*B20</f>
        <v>33</v>
      </c>
      <c r="G36" s="39">
        <f>G18*B20</f>
        <v>3.3000000000000003</v>
      </c>
      <c r="H36" s="40">
        <f t="shared" si="3"/>
        <v>62.7</v>
      </c>
      <c r="I36" s="21"/>
      <c r="J36" s="5"/>
    </row>
    <row r="37" spans="2:10" x14ac:dyDescent="0.55000000000000004">
      <c r="B37" s="43" t="s">
        <v>148</v>
      </c>
      <c r="C37" s="26">
        <f>C18*B20</f>
        <v>24.42</v>
      </c>
      <c r="D37" s="26">
        <f>D18*B20</f>
        <v>2.6400000000000006</v>
      </c>
      <c r="E37" s="26">
        <f>D18*B20</f>
        <v>2.6400000000000006</v>
      </c>
      <c r="F37" s="26">
        <f>F18*B20</f>
        <v>33</v>
      </c>
      <c r="G37" s="39">
        <f>G18*B20</f>
        <v>3.3000000000000003</v>
      </c>
      <c r="H37" s="40">
        <f t="shared" si="3"/>
        <v>62.7</v>
      </c>
      <c r="I37" s="21"/>
      <c r="J37" s="5"/>
    </row>
    <row r="38" spans="2:10" x14ac:dyDescent="0.55000000000000004">
      <c r="B38" s="43" t="s">
        <v>149</v>
      </c>
      <c r="C38" s="26">
        <f>C18*B20</f>
        <v>24.42</v>
      </c>
      <c r="D38" s="26">
        <f>D18*B20</f>
        <v>2.6400000000000006</v>
      </c>
      <c r="E38" s="26">
        <f>D18*B20</f>
        <v>2.6400000000000006</v>
      </c>
      <c r="F38" s="26">
        <f>F18*B20</f>
        <v>33</v>
      </c>
      <c r="G38" s="39">
        <f>G18*B20</f>
        <v>3.3000000000000003</v>
      </c>
      <c r="H38" s="40">
        <f>SUM(C29:F29)</f>
        <v>62.7</v>
      </c>
      <c r="I38" s="21"/>
      <c r="J38" s="5"/>
    </row>
    <row r="39" spans="2:10" x14ac:dyDescent="0.55000000000000004">
      <c r="B39" s="43" t="s">
        <v>150</v>
      </c>
      <c r="C39" s="26">
        <f>C18*B20</f>
        <v>24.42</v>
      </c>
      <c r="D39" s="26">
        <f>D18*B20</f>
        <v>2.6400000000000006</v>
      </c>
      <c r="E39" s="26">
        <f>D18*B20</f>
        <v>2.6400000000000006</v>
      </c>
      <c r="F39" s="26">
        <f>F18*B20</f>
        <v>33</v>
      </c>
      <c r="G39" s="39">
        <f>G18*B20</f>
        <v>3.3000000000000003</v>
      </c>
      <c r="H39" s="40">
        <f>SUM(C29:F29)</f>
        <v>62.7</v>
      </c>
      <c r="I39" s="21"/>
      <c r="J39" s="5"/>
    </row>
    <row r="40" spans="2:10" ht="48" thickBot="1" x14ac:dyDescent="0.6">
      <c r="B40" s="43" t="s">
        <v>151</v>
      </c>
      <c r="C40" s="24">
        <f>C18*B20</f>
        <v>24.42</v>
      </c>
      <c r="D40" s="25">
        <f>D18*B20</f>
        <v>2.6400000000000006</v>
      </c>
      <c r="E40" s="25">
        <f>D18*B20</f>
        <v>2.6400000000000006</v>
      </c>
      <c r="F40" s="25">
        <f>F18*B20</f>
        <v>33</v>
      </c>
      <c r="G40" s="41">
        <f>G18*B20</f>
        <v>3.3000000000000003</v>
      </c>
      <c r="H40" s="42">
        <f>SUM(C29:F29)</f>
        <v>62.7</v>
      </c>
      <c r="I40" s="21"/>
      <c r="J40" s="5"/>
    </row>
    <row r="41" spans="2:10" ht="48" thickBot="1" x14ac:dyDescent="0.6">
      <c r="B41" s="26"/>
      <c r="C41" s="56">
        <f>SUM(C22:C29)</f>
        <v>195.36</v>
      </c>
      <c r="D41" s="57">
        <f>SUM(D33:D40)</f>
        <v>21.120000000000005</v>
      </c>
      <c r="E41" s="57">
        <f>SUM(E33:E40)</f>
        <v>21.120000000000005</v>
      </c>
      <c r="F41" s="58">
        <f>SUM(F33:F40)</f>
        <v>264</v>
      </c>
      <c r="G41" s="59" t="s">
        <v>162</v>
      </c>
      <c r="H41" s="26"/>
      <c r="I41" s="21"/>
      <c r="J41" s="5"/>
    </row>
    <row r="42" spans="2:10" x14ac:dyDescent="0.55000000000000004">
      <c r="B42" s="26"/>
      <c r="C42" s="21"/>
      <c r="D42" s="21"/>
      <c r="E42" s="21"/>
      <c r="F42" s="21"/>
      <c r="G42" s="59"/>
      <c r="H42" s="26"/>
      <c r="I42" s="21"/>
      <c r="J42" s="5"/>
    </row>
    <row r="43" spans="2:10" x14ac:dyDescent="0.55000000000000004">
      <c r="B43" s="26"/>
      <c r="C43" s="35" t="s">
        <v>21</v>
      </c>
      <c r="D43" s="23" t="s">
        <v>22</v>
      </c>
      <c r="E43" s="23" t="s">
        <v>23</v>
      </c>
      <c r="F43" s="36" t="s">
        <v>24</v>
      </c>
      <c r="G43" s="37" t="s">
        <v>164</v>
      </c>
      <c r="H43" s="26" t="s">
        <v>165</v>
      </c>
      <c r="I43" s="21"/>
      <c r="J43" s="5"/>
    </row>
    <row r="44" spans="2:10" x14ac:dyDescent="0.55000000000000004">
      <c r="B44" s="48" t="s">
        <v>136</v>
      </c>
      <c r="C44" s="44">
        <f>C18*B20</f>
        <v>24.42</v>
      </c>
      <c r="D44" s="49">
        <f>D18*B20</f>
        <v>2.6400000000000006</v>
      </c>
      <c r="E44" s="49">
        <f>D18*B20</f>
        <v>2.6400000000000006</v>
      </c>
      <c r="F44" s="45">
        <f>F18*B20</f>
        <v>33</v>
      </c>
      <c r="G44" s="46">
        <f>G18*B20</f>
        <v>3.3000000000000003</v>
      </c>
      <c r="H44" s="47">
        <f>SUM(C29:F29)</f>
        <v>62.7</v>
      </c>
      <c r="I44" s="21" t="s">
        <v>166</v>
      </c>
      <c r="J44" s="5"/>
    </row>
    <row r="45" spans="2:10" x14ac:dyDescent="0.55000000000000004">
      <c r="B45" s="48" t="s">
        <v>137</v>
      </c>
      <c r="C45" s="28">
        <f>C18*B20</f>
        <v>24.42</v>
      </c>
      <c r="D45" s="26">
        <f>D18*B20</f>
        <v>2.6400000000000006</v>
      </c>
      <c r="E45" s="26">
        <f>D18*B20</f>
        <v>2.6400000000000006</v>
      </c>
      <c r="F45" s="26">
        <f>F18*B20</f>
        <v>33</v>
      </c>
      <c r="G45" s="39">
        <f>G18*B20</f>
        <v>3.3000000000000003</v>
      </c>
      <c r="H45" s="40">
        <f>SUM(C29:F29)</f>
        <v>62.7</v>
      </c>
      <c r="I45" s="21"/>
      <c r="J45" s="5"/>
    </row>
    <row r="46" spans="2:10" x14ac:dyDescent="0.55000000000000004">
      <c r="B46" s="48" t="s">
        <v>138</v>
      </c>
      <c r="C46" s="26">
        <f>C18*B20</f>
        <v>24.42</v>
      </c>
      <c r="D46" s="26">
        <f>D18*B20</f>
        <v>2.6400000000000006</v>
      </c>
      <c r="E46" s="26">
        <f>D18*B20</f>
        <v>2.6400000000000006</v>
      </c>
      <c r="F46" s="26">
        <f>F18*B20</f>
        <v>33</v>
      </c>
      <c r="G46" s="39">
        <f>G18*B20</f>
        <v>3.3000000000000003</v>
      </c>
      <c r="H46" s="40">
        <f>SUM(C29:F29)</f>
        <v>62.7</v>
      </c>
      <c r="I46" s="21"/>
      <c r="J46" s="5"/>
    </row>
    <row r="47" spans="2:10" x14ac:dyDescent="0.55000000000000004">
      <c r="B47" s="48" t="s">
        <v>139</v>
      </c>
      <c r="C47" s="26">
        <f>C18*B20</f>
        <v>24.42</v>
      </c>
      <c r="D47" s="26">
        <f>D18*B20</f>
        <v>2.6400000000000006</v>
      </c>
      <c r="E47" s="26">
        <f>D18*B20</f>
        <v>2.6400000000000006</v>
      </c>
      <c r="F47" s="26">
        <f>F18*B20</f>
        <v>33</v>
      </c>
      <c r="G47" s="39">
        <f>G18*B20</f>
        <v>3.3000000000000003</v>
      </c>
      <c r="H47" s="40">
        <f>SUM(C29:F29)</f>
        <v>62.7</v>
      </c>
      <c r="I47" s="21"/>
      <c r="J47" s="5"/>
    </row>
    <row r="48" spans="2:10" x14ac:dyDescent="0.55000000000000004">
      <c r="B48" s="48" t="s">
        <v>140</v>
      </c>
      <c r="C48" s="26">
        <f>C18*B20</f>
        <v>24.42</v>
      </c>
      <c r="D48" s="26">
        <f>D18*B20</f>
        <v>2.6400000000000006</v>
      </c>
      <c r="E48" s="26">
        <f>D18*B20</f>
        <v>2.6400000000000006</v>
      </c>
      <c r="F48" s="26">
        <f>F18*B20</f>
        <v>33</v>
      </c>
      <c r="G48" s="39">
        <f>G18*B20</f>
        <v>3.3000000000000003</v>
      </c>
      <c r="H48" s="40">
        <f>SUM(C29:F29)</f>
        <v>62.7</v>
      </c>
      <c r="I48" s="21"/>
      <c r="J48" s="5"/>
    </row>
    <row r="49" spans="2:10" x14ac:dyDescent="0.55000000000000004">
      <c r="B49" s="48" t="s">
        <v>141</v>
      </c>
      <c r="C49" s="26">
        <f>C18*B20</f>
        <v>24.42</v>
      </c>
      <c r="D49" s="26">
        <f>D18*B20</f>
        <v>2.6400000000000006</v>
      </c>
      <c r="E49" s="26">
        <f>D18*B20</f>
        <v>2.6400000000000006</v>
      </c>
      <c r="F49" s="26">
        <f>F18*B20</f>
        <v>33</v>
      </c>
      <c r="G49" s="39">
        <f>G18*B20</f>
        <v>3.3000000000000003</v>
      </c>
      <c r="H49" s="40">
        <f>SUM(C29:F29)</f>
        <v>62.7</v>
      </c>
      <c r="I49" s="21"/>
      <c r="J49" s="5"/>
    </row>
    <row r="50" spans="2:10" x14ac:dyDescent="0.55000000000000004">
      <c r="B50" s="48" t="s">
        <v>142</v>
      </c>
      <c r="C50" s="26">
        <f>C18*B20</f>
        <v>24.42</v>
      </c>
      <c r="D50" s="26">
        <f>D18*B20</f>
        <v>2.6400000000000006</v>
      </c>
      <c r="E50" s="26">
        <f>D18*B20</f>
        <v>2.6400000000000006</v>
      </c>
      <c r="F50" s="26">
        <f>F18*B20</f>
        <v>33</v>
      </c>
      <c r="G50" s="39">
        <f>G18*B20</f>
        <v>3.3000000000000003</v>
      </c>
      <c r="H50" s="40">
        <f>SUM(C29:F29)</f>
        <v>62.7</v>
      </c>
      <c r="I50" s="21"/>
      <c r="J50" s="5"/>
    </row>
    <row r="51" spans="2:10" ht="48" thickBot="1" x14ac:dyDescent="0.6">
      <c r="B51" s="48" t="s">
        <v>143</v>
      </c>
      <c r="C51" s="24">
        <f>C18*B20</f>
        <v>24.42</v>
      </c>
      <c r="D51" s="25">
        <f>D18*B20</f>
        <v>2.6400000000000006</v>
      </c>
      <c r="E51" s="25">
        <f>D18*B20</f>
        <v>2.6400000000000006</v>
      </c>
      <c r="F51" s="25">
        <f>F18*B20</f>
        <v>33</v>
      </c>
      <c r="G51" s="41">
        <f>G18*B20</f>
        <v>3.3000000000000003</v>
      </c>
      <c r="H51" s="42">
        <f>SUM(C29:F29)</f>
        <v>62.7</v>
      </c>
      <c r="I51" s="21"/>
      <c r="J51" s="5"/>
    </row>
    <row r="52" spans="2:10" ht="48" thickBot="1" x14ac:dyDescent="0.6">
      <c r="B52" s="21"/>
      <c r="C52" s="56">
        <f>SUM(C22:C29)</f>
        <v>195.36</v>
      </c>
      <c r="D52" s="57">
        <f>SUM(D44:D51)</f>
        <v>21.120000000000005</v>
      </c>
      <c r="E52" s="57">
        <f>SUM(E44:E51)</f>
        <v>21.120000000000005</v>
      </c>
      <c r="F52" s="58">
        <f>SUM(F44:F51)</f>
        <v>264</v>
      </c>
      <c r="G52" s="59" t="s">
        <v>161</v>
      </c>
      <c r="H52" s="21"/>
      <c r="I52" s="21"/>
      <c r="J52" s="5"/>
    </row>
    <row r="53" spans="2:10" x14ac:dyDescent="0.55000000000000004">
      <c r="B53" s="21"/>
      <c r="C53" s="21"/>
      <c r="D53" s="21"/>
      <c r="E53" s="21"/>
      <c r="F53" s="21"/>
      <c r="G53" s="59"/>
      <c r="H53" s="21"/>
      <c r="I53" s="21"/>
      <c r="J53" s="5"/>
    </row>
    <row r="54" spans="2:10" x14ac:dyDescent="0.55000000000000004">
      <c r="B54" s="21"/>
      <c r="C54" s="35" t="s">
        <v>21</v>
      </c>
      <c r="D54" s="23" t="s">
        <v>22</v>
      </c>
      <c r="E54" s="23" t="s">
        <v>23</v>
      </c>
      <c r="F54" s="36" t="s">
        <v>24</v>
      </c>
      <c r="G54" s="37" t="s">
        <v>164</v>
      </c>
      <c r="H54" s="21" t="s">
        <v>165</v>
      </c>
      <c r="I54" s="21"/>
      <c r="J54" s="5"/>
    </row>
    <row r="55" spans="2:10" x14ac:dyDescent="0.55000000000000004">
      <c r="B55" s="51" t="s">
        <v>128</v>
      </c>
      <c r="C55" s="44">
        <f>C18*B20</f>
        <v>24.42</v>
      </c>
      <c r="D55" s="49">
        <f>D18*B20</f>
        <v>2.6400000000000006</v>
      </c>
      <c r="E55" s="49">
        <f>D18*B20</f>
        <v>2.6400000000000006</v>
      </c>
      <c r="F55" s="45">
        <f>F18*B20</f>
        <v>33</v>
      </c>
      <c r="G55" s="46">
        <f>G18*B20</f>
        <v>3.3000000000000003</v>
      </c>
      <c r="H55" s="47">
        <f>SUM(C29:F29)</f>
        <v>62.7</v>
      </c>
      <c r="I55" s="21" t="s">
        <v>166</v>
      </c>
      <c r="J55" s="5"/>
    </row>
    <row r="56" spans="2:10" x14ac:dyDescent="0.55000000000000004">
      <c r="B56" s="51" t="s">
        <v>129</v>
      </c>
      <c r="C56" s="28">
        <f>C18*B20</f>
        <v>24.42</v>
      </c>
      <c r="D56" s="26">
        <f>D18*B20</f>
        <v>2.6400000000000006</v>
      </c>
      <c r="E56" s="26">
        <f>D18*B20</f>
        <v>2.6400000000000006</v>
      </c>
      <c r="F56" s="26">
        <f>F18*B20</f>
        <v>33</v>
      </c>
      <c r="G56" s="39">
        <f>G18*B20</f>
        <v>3.3000000000000003</v>
      </c>
      <c r="H56" s="40">
        <f>SUM(C29:F29)</f>
        <v>62.7</v>
      </c>
      <c r="I56" s="21"/>
      <c r="J56" s="5"/>
    </row>
    <row r="57" spans="2:10" x14ac:dyDescent="0.55000000000000004">
      <c r="B57" s="51" t="s">
        <v>130</v>
      </c>
      <c r="C57" s="26">
        <f>C18*B20</f>
        <v>24.42</v>
      </c>
      <c r="D57" s="26">
        <f>D18*B20</f>
        <v>2.6400000000000006</v>
      </c>
      <c r="E57" s="26">
        <f>D18*B20</f>
        <v>2.6400000000000006</v>
      </c>
      <c r="F57" s="26">
        <f>F18*B20</f>
        <v>33</v>
      </c>
      <c r="G57" s="39">
        <f>G18*B20</f>
        <v>3.3000000000000003</v>
      </c>
      <c r="H57" s="40">
        <f>SUM(C29:F29)</f>
        <v>62.7</v>
      </c>
      <c r="I57" s="21"/>
      <c r="J57" s="5"/>
    </row>
    <row r="58" spans="2:10" x14ac:dyDescent="0.55000000000000004">
      <c r="B58" s="51" t="s">
        <v>131</v>
      </c>
      <c r="C58" s="26">
        <f>C18*B20</f>
        <v>24.42</v>
      </c>
      <c r="D58" s="26">
        <f>D18*B20</f>
        <v>2.6400000000000006</v>
      </c>
      <c r="E58" s="26">
        <f>D18*B20</f>
        <v>2.6400000000000006</v>
      </c>
      <c r="F58" s="26">
        <f>F18*B20</f>
        <v>33</v>
      </c>
      <c r="G58" s="39">
        <f>G18*B20</f>
        <v>3.3000000000000003</v>
      </c>
      <c r="H58" s="40">
        <f>SUM(C29:F29)</f>
        <v>62.7</v>
      </c>
      <c r="I58" s="21"/>
      <c r="J58" s="5"/>
    </row>
    <row r="59" spans="2:10" x14ac:dyDescent="0.55000000000000004">
      <c r="B59" s="51" t="s">
        <v>132</v>
      </c>
      <c r="C59" s="26">
        <f>C18*B20</f>
        <v>24.42</v>
      </c>
      <c r="D59" s="26">
        <f>D18*B20</f>
        <v>2.6400000000000006</v>
      </c>
      <c r="E59" s="26">
        <f>D18*B20</f>
        <v>2.6400000000000006</v>
      </c>
      <c r="F59" s="26">
        <f>F18*B20</f>
        <v>33</v>
      </c>
      <c r="G59" s="39">
        <f>G18*B20</f>
        <v>3.3000000000000003</v>
      </c>
      <c r="H59" s="40">
        <f>SUM(C29:F29)</f>
        <v>62.7</v>
      </c>
      <c r="J59" s="50"/>
    </row>
    <row r="60" spans="2:10" x14ac:dyDescent="0.55000000000000004">
      <c r="B60" s="51" t="s">
        <v>133</v>
      </c>
      <c r="C60" s="26">
        <f>C18*B20</f>
        <v>24.42</v>
      </c>
      <c r="D60" s="26">
        <f>D18*B20</f>
        <v>2.6400000000000006</v>
      </c>
      <c r="E60" s="26">
        <f>D18*B20</f>
        <v>2.6400000000000006</v>
      </c>
      <c r="F60" s="26">
        <f>F18*B20</f>
        <v>33</v>
      </c>
      <c r="G60" s="39">
        <f>G18*B20</f>
        <v>3.3000000000000003</v>
      </c>
      <c r="H60" s="40">
        <f>SUM(C29:F29)</f>
        <v>62.7</v>
      </c>
    </row>
    <row r="61" spans="2:10" x14ac:dyDescent="0.55000000000000004">
      <c r="B61" s="51" t="s">
        <v>134</v>
      </c>
      <c r="C61" s="26">
        <f>C18*B20</f>
        <v>24.42</v>
      </c>
      <c r="D61" s="26">
        <f>D18*B20</f>
        <v>2.6400000000000006</v>
      </c>
      <c r="E61" s="26">
        <f>D18*B20</f>
        <v>2.6400000000000006</v>
      </c>
      <c r="F61" s="26">
        <f>F18*B20</f>
        <v>33</v>
      </c>
      <c r="G61" s="39">
        <f>G18*B20</f>
        <v>3.3000000000000003</v>
      </c>
      <c r="H61" s="40">
        <f>SUM(C29:F29)</f>
        <v>62.7</v>
      </c>
    </row>
    <row r="62" spans="2:10" ht="48" thickBot="1" x14ac:dyDescent="0.6">
      <c r="B62" s="51" t="s">
        <v>135</v>
      </c>
      <c r="C62" s="24">
        <f>C18*B20</f>
        <v>24.42</v>
      </c>
      <c r="D62" s="25">
        <f>D18*B20</f>
        <v>2.6400000000000006</v>
      </c>
      <c r="E62" s="25">
        <f>D18*B20</f>
        <v>2.6400000000000006</v>
      </c>
      <c r="F62" s="25">
        <f>F18*B20</f>
        <v>33</v>
      </c>
      <c r="G62" s="41">
        <f>G18*B20</f>
        <v>3.3000000000000003</v>
      </c>
      <c r="H62" s="42">
        <f>SUM(C29:F29)</f>
        <v>62.7</v>
      </c>
    </row>
    <row r="63" spans="2:10" ht="48" thickBot="1" x14ac:dyDescent="0.6">
      <c r="B63" s="21"/>
      <c r="C63" s="56">
        <f>SUM(C55:C62)</f>
        <v>195.36</v>
      </c>
      <c r="D63" s="57">
        <f>SUM(D55:D62)</f>
        <v>21.120000000000005</v>
      </c>
      <c r="E63" s="57">
        <f>SUM(E55:E62)</f>
        <v>21.120000000000005</v>
      </c>
      <c r="F63" s="58">
        <f>SUM(F55:F62)</f>
        <v>264</v>
      </c>
      <c r="G63" s="59" t="s">
        <v>160</v>
      </c>
      <c r="H63" s="21"/>
    </row>
    <row r="64" spans="2:10" x14ac:dyDescent="0.55000000000000004">
      <c r="B64" s="21"/>
      <c r="C64" s="21"/>
      <c r="D64" s="21"/>
      <c r="E64" s="21"/>
      <c r="F64" s="21"/>
      <c r="G64" s="21"/>
      <c r="H64" s="21"/>
    </row>
  </sheetData>
  <mergeCells count="3">
    <mergeCell ref="A1:D1"/>
    <mergeCell ref="E1:M1"/>
    <mergeCell ref="G11:K11"/>
  </mergeCells>
  <phoneticPr fontId="13" type="noConversion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NS</vt:lpstr>
      <vt:lpstr>ME</vt:lpstr>
      <vt:lpstr>NH</vt:lpstr>
      <vt:lpstr>MA</vt:lpstr>
      <vt:lpstr>NC</vt:lpstr>
      <vt:lpstr>New FL</vt:lpstr>
      <vt:lpstr>ME!Print_Area</vt:lpstr>
      <vt:lpstr>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Sydney Birch</cp:lastModifiedBy>
  <cp:lastPrinted>2023-11-06T13:39:30Z</cp:lastPrinted>
  <dcterms:created xsi:type="dcterms:W3CDTF">2019-06-29T04:26:56Z</dcterms:created>
  <dcterms:modified xsi:type="dcterms:W3CDTF">2023-11-09T16:56:45Z</dcterms:modified>
</cp:coreProperties>
</file>