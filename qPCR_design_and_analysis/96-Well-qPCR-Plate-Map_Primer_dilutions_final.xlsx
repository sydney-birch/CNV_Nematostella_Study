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4"/>
  <workbookPr/>
  <mc:AlternateContent xmlns:mc="http://schemas.openxmlformats.org/markup-compatibility/2006">
    <mc:Choice Requires="x15">
      <x15ac:absPath xmlns:x15ac="http://schemas.microsoft.com/office/spreadsheetml/2010/11/ac" url="/Users/Sydney/Library/CloudStorage/GoogleDrive-sbirch1@uncc.edu/My Drive/Postdoc_work/Immunity_gene_Project/qPCR/Primer_efficiency/"/>
    </mc:Choice>
  </mc:AlternateContent>
  <xr:revisionPtr revIDLastSave="0" documentId="13_ncr:1_{528EB635-7C5E-7E4D-A037-D734D68FF89D}" xr6:coauthVersionLast="47" xr6:coauthVersionMax="47" xr10:uidLastSave="{00000000-0000-0000-0000-000000000000}"/>
  <bookViews>
    <workbookView xWindow="29040" yWindow="500" windowWidth="38160" windowHeight="191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1" i="1" l="1"/>
  <c r="D60" i="1"/>
  <c r="G58" i="1" l="1"/>
  <c r="C58" i="1"/>
  <c r="C54" i="1"/>
  <c r="C55" i="1"/>
  <c r="C47" i="1"/>
  <c r="C39" i="1"/>
  <c r="G54" i="1"/>
  <c r="G53" i="1"/>
  <c r="G52" i="1"/>
  <c r="G51" i="1"/>
  <c r="G50" i="1"/>
  <c r="G49" i="1"/>
  <c r="G46" i="1"/>
  <c r="G45" i="1"/>
  <c r="G44" i="1"/>
  <c r="G43" i="1"/>
  <c r="G42" i="1"/>
  <c r="G41" i="1"/>
  <c r="G38" i="1"/>
  <c r="G37" i="1"/>
  <c r="G36" i="1"/>
  <c r="G35" i="1"/>
  <c r="G34" i="1"/>
  <c r="G33" i="1"/>
  <c r="C53" i="1"/>
  <c r="C52" i="1"/>
  <c r="C51" i="1"/>
  <c r="C50" i="1"/>
  <c r="C49" i="1"/>
  <c r="C46" i="1"/>
  <c r="C45" i="1"/>
  <c r="C44" i="1"/>
  <c r="C43" i="1"/>
  <c r="C42" i="1"/>
  <c r="C41" i="1"/>
  <c r="C38" i="1"/>
  <c r="C37" i="1"/>
  <c r="C36" i="1"/>
  <c r="C35" i="1"/>
  <c r="C34" i="1"/>
  <c r="C33" i="1"/>
  <c r="H33" i="1"/>
  <c r="F33" i="1"/>
  <c r="E33" i="1"/>
  <c r="D33" i="1"/>
  <c r="G27" i="1"/>
  <c r="G20" i="1"/>
  <c r="G19" i="1"/>
  <c r="H19" i="1" s="1"/>
  <c r="G18" i="1"/>
  <c r="G22" i="1"/>
  <c r="G21" i="1"/>
  <c r="H21" i="1"/>
  <c r="H23" i="1"/>
  <c r="G23" i="1"/>
  <c r="H22" i="1"/>
  <c r="H18" i="1"/>
  <c r="D18" i="1"/>
  <c r="H54" i="1"/>
  <c r="H53" i="1"/>
  <c r="H52" i="1"/>
  <c r="H51" i="1"/>
  <c r="H50" i="1"/>
  <c r="H49" i="1"/>
  <c r="I49" i="1" s="1"/>
  <c r="H46" i="1"/>
  <c r="H45" i="1"/>
  <c r="H44" i="1"/>
  <c r="H43" i="1"/>
  <c r="H42" i="1"/>
  <c r="H41" i="1"/>
  <c r="I41" i="1" s="1"/>
  <c r="H38" i="1"/>
  <c r="H37" i="1"/>
  <c r="H36" i="1"/>
  <c r="H35" i="1"/>
  <c r="H34" i="1"/>
  <c r="I33" i="1"/>
  <c r="F28" i="1"/>
  <c r="F29" i="1" s="1"/>
  <c r="F53" i="1" s="1"/>
  <c r="E28" i="1"/>
  <c r="E29" i="1" s="1"/>
  <c r="D36" i="1" s="1"/>
  <c r="D28" i="1"/>
  <c r="D29" i="1" s="1"/>
  <c r="C19" i="1"/>
  <c r="D19" i="1" s="1"/>
  <c r="E19" i="1" s="1"/>
  <c r="E18" i="1"/>
  <c r="G24" i="1" l="1"/>
  <c r="H20" i="1"/>
  <c r="C20" i="1"/>
  <c r="D52" i="1"/>
  <c r="D44" i="1"/>
  <c r="D54" i="1"/>
  <c r="D50" i="1"/>
  <c r="D46" i="1"/>
  <c r="D42" i="1"/>
  <c r="D34" i="1"/>
  <c r="E43" i="1"/>
  <c r="E52" i="1"/>
  <c r="E44" i="1"/>
  <c r="E53" i="1"/>
  <c r="E45" i="1"/>
  <c r="E50" i="1"/>
  <c r="D41" i="1"/>
  <c r="D47" i="1" s="1"/>
  <c r="D51" i="1"/>
  <c r="D43" i="1"/>
  <c r="D53" i="1"/>
  <c r="E49" i="1"/>
  <c r="D45" i="1"/>
  <c r="E41" i="1"/>
  <c r="E47" i="1" s="1"/>
  <c r="E54" i="1"/>
  <c r="D49" i="1"/>
  <c r="E46" i="1"/>
  <c r="E42" i="1"/>
  <c r="D58" i="1"/>
  <c r="E51" i="1"/>
  <c r="E36" i="1"/>
  <c r="F36" i="1"/>
  <c r="E34" i="1"/>
  <c r="E38" i="1"/>
  <c r="E58" i="1"/>
  <c r="F34" i="1"/>
  <c r="D37" i="1"/>
  <c r="F38" i="1"/>
  <c r="F42" i="1"/>
  <c r="F46" i="1"/>
  <c r="F50" i="1"/>
  <c r="F54" i="1"/>
  <c r="F58" i="1"/>
  <c r="E35" i="1"/>
  <c r="F43" i="1"/>
  <c r="E37" i="1"/>
  <c r="F41" i="1"/>
  <c r="F49" i="1"/>
  <c r="D35" i="1"/>
  <c r="F44" i="1"/>
  <c r="F52" i="1"/>
  <c r="F35" i="1"/>
  <c r="D38" i="1"/>
  <c r="F51" i="1"/>
  <c r="F37" i="1"/>
  <c r="F45" i="1"/>
  <c r="D20" i="1" l="1"/>
  <c r="E20" i="1" s="1"/>
  <c r="C21" i="1"/>
  <c r="E55" i="1"/>
  <c r="F47" i="1"/>
  <c r="F55" i="1"/>
  <c r="E39" i="1"/>
  <c r="F39" i="1"/>
  <c r="D55" i="1"/>
  <c r="D39" i="1"/>
  <c r="D21" i="1" l="1"/>
  <c r="E21" i="1" s="1"/>
  <c r="C22" i="1"/>
  <c r="D22" i="1" l="1"/>
  <c r="E22" i="1" s="1"/>
  <c r="C23" i="1"/>
  <c r="D23" i="1" s="1"/>
  <c r="D24" i="1" l="1"/>
  <c r="E23" i="1"/>
  <c r="H27" i="1" l="1"/>
  <c r="C27" i="1" s="1"/>
  <c r="G28" i="1"/>
  <c r="G29" i="1" s="1"/>
  <c r="C28" i="1" l="1"/>
  <c r="C29" i="1" s="1"/>
  <c r="I27" i="1"/>
</calcChain>
</file>

<file path=xl/sharedStrings.xml><?xml version="1.0" encoding="utf-8"?>
<sst xmlns="http://schemas.openxmlformats.org/spreadsheetml/2006/main" count="133" uniqueCount="112">
  <si>
    <t>A</t>
  </si>
  <si>
    <t>B</t>
  </si>
  <si>
    <t>C</t>
  </si>
  <si>
    <t>D</t>
  </si>
  <si>
    <t>E</t>
  </si>
  <si>
    <t>F</t>
  </si>
  <si>
    <t>G</t>
  </si>
  <si>
    <t>H</t>
  </si>
  <si>
    <t>version 1.0 Jared S. Farrar</t>
  </si>
  <si>
    <t>Checked by/date:</t>
  </si>
  <si>
    <r>
      <rPr>
        <b/>
        <sz val="22"/>
        <color theme="1"/>
        <rFont val="Calibri"/>
        <family val="2"/>
        <scheme val="minor"/>
      </rPr>
      <t>Date:</t>
    </r>
    <r>
      <rPr>
        <sz val="22"/>
        <color theme="1"/>
        <rFont val="Calibri"/>
        <family val="2"/>
        <scheme val="minor"/>
      </rPr>
      <t xml:space="preserve"> </t>
    </r>
  </si>
  <si>
    <t>DNA to Add/Sample</t>
  </si>
  <si>
    <t>Mix to add/ sample</t>
  </si>
  <si>
    <t>Total rxn vol (1 sample)</t>
  </si>
  <si>
    <t>RXN CALCULATOR</t>
  </si>
  <si>
    <t xml:space="preserve">Water  </t>
  </si>
  <si>
    <t xml:space="preserve">F Primer  </t>
  </si>
  <si>
    <t xml:space="preserve">R Primer  </t>
  </si>
  <si>
    <t xml:space="preserve">Master Mix  </t>
  </si>
  <si>
    <t>total before water</t>
  </si>
  <si>
    <t>Total vol</t>
  </si>
  <si>
    <t>amt for 1 RXN</t>
  </si>
  <si>
    <t>* 10%</t>
  </si>
  <si>
    <t>10% overage total</t>
  </si>
  <si>
    <t xml:space="preserve">Water 10% overage </t>
  </si>
  <si>
    <t xml:space="preserve">F Primer 10% overage </t>
  </si>
  <si>
    <t>R Primer 10% overage</t>
  </si>
  <si>
    <t xml:space="preserve">Master mix 10% overage </t>
  </si>
  <si>
    <t>&lt;-- Enter number of RXNs for Mix</t>
  </si>
  <si>
    <t>NS TRIM dil 100 R1</t>
  </si>
  <si>
    <t>NS TRIM dil 100 R2</t>
  </si>
  <si>
    <t>NS TRIM dil 100  R3</t>
  </si>
  <si>
    <t>NS TRIM dil 25 R1</t>
  </si>
  <si>
    <t>NS TRIM dil 6.25 R1</t>
  </si>
  <si>
    <t>NS TRIM dil 1.56 R1</t>
  </si>
  <si>
    <t>NS TRIM dil 0.39 R1</t>
  </si>
  <si>
    <t>NS TRIM dil 0.09 R1</t>
  </si>
  <si>
    <t>NS TRIM dil 25 R2</t>
  </si>
  <si>
    <t>NS TRIM dil 6.25 R2</t>
  </si>
  <si>
    <t>NS TRIM dil 1.56 R2</t>
  </si>
  <si>
    <t>NS TRIM dil 0.39 R2</t>
  </si>
  <si>
    <t>NS TRIM dil 0.09 R2</t>
  </si>
  <si>
    <t>NS TRIM dil 25  R3</t>
  </si>
  <si>
    <t>NS TRIM dil 6.25  R3</t>
  </si>
  <si>
    <t>NS TRIM dil 1.56  R3</t>
  </si>
  <si>
    <t>NS TRIM dil 0.39  R3</t>
  </si>
  <si>
    <t>NS TRIM dil 0.09  R3</t>
  </si>
  <si>
    <t>NS STING dil 100 R1</t>
  </si>
  <si>
    <t>NS STING dil 100 R2</t>
  </si>
  <si>
    <t>NS STING dil 100  R3</t>
  </si>
  <si>
    <t>NS CSTINGAT dil 25 R1</t>
  </si>
  <si>
    <t>NS STING dil 6.25 R1</t>
  </si>
  <si>
    <t>NS STING dil 1.56 R1</t>
  </si>
  <si>
    <t>NS STING dil 0.39 R1</t>
  </si>
  <si>
    <t>NS STING dil 0.09 R1</t>
  </si>
  <si>
    <t>NS STING dil 25 R2</t>
  </si>
  <si>
    <t>NS STING dil 6.25 R2</t>
  </si>
  <si>
    <t>NS STING dil 1.56 R2</t>
  </si>
  <si>
    <t>NS STING dil 0.39 R2</t>
  </si>
  <si>
    <t>NS STING dil 0.09 R2</t>
  </si>
  <si>
    <t>NS STING dil 25  R3</t>
  </si>
  <si>
    <t>NS STING dil 6.25  R3</t>
  </si>
  <si>
    <t>NS STING dil 1.56  R3</t>
  </si>
  <si>
    <t>NS STING dil 0.39  R3</t>
  </si>
  <si>
    <t>NS STING dil 0.09  R3</t>
  </si>
  <si>
    <t>NS cGAS dil 100 R1</t>
  </si>
  <si>
    <t>NS cGAS dil 25 R1</t>
  </si>
  <si>
    <t>NS cGAS dil 6.25 R1</t>
  </si>
  <si>
    <t>NS cGAS dil 1.56 R1</t>
  </si>
  <si>
    <t>NS cGAS dil 0.39 R1</t>
  </si>
  <si>
    <t>NS cGAS dil 0.09 R1</t>
  </si>
  <si>
    <t>NS cGAS dil 100 R2</t>
  </si>
  <si>
    <t>NS cGAS dil 25 R2</t>
  </si>
  <si>
    <t>NS cGAS dil 6.25 R2</t>
  </si>
  <si>
    <t>NS cGAS dil 1.56 R2</t>
  </si>
  <si>
    <t>NS cGAS dil 0.39 R2</t>
  </si>
  <si>
    <t>NS cGAS dil 0.09 R2</t>
  </si>
  <si>
    <t>NS cGAS dil 100  R3</t>
  </si>
  <si>
    <t>NS cGAS dil 25  R3</t>
  </si>
  <si>
    <t>NS cGAS dil 6.25  R3</t>
  </si>
  <si>
    <t>NS cGAS dil 1.56  R3</t>
  </si>
  <si>
    <t>NS cGAS dil 0.39  R3</t>
  </si>
  <si>
    <t>NS cGAS dil 0.09  R3</t>
  </si>
  <si>
    <t>NS 2 DNA  ng/ul --&gt;</t>
  </si>
  <si>
    <t>Total DNA:Water vol --&gt;</t>
  </si>
  <si>
    <t>Dilutions (ng of DNA)</t>
  </si>
  <si>
    <t>Amt of DNA to Add</t>
  </si>
  <si>
    <t xml:space="preserve">Amt of Water to Add </t>
  </si>
  <si>
    <t>total DNA</t>
  </si>
  <si>
    <t>&lt;- Total for 3 rxns</t>
  </si>
  <si>
    <t xml:space="preserve">Order: 1) Add in all water (to 18 tubes); 2) make three master mixes; 3) aliqot the mm to 18 tubes (38.28ul); 4) aliqot DNA to tube then pipet out 20 ul to plate for 3 reps </t>
  </si>
  <si>
    <t>Tubes: 3 MM tubes (primers and MM), 1 tube per experiement (18 - contains 3 rxns)</t>
  </si>
  <si>
    <t>&lt;-- MM Total for group</t>
  </si>
  <si>
    <r>
      <t xml:space="preserve">3 rxns in 1 Tube (1 tube per individual) = Technical Replicate --&gt; Pipet out </t>
    </r>
    <r>
      <rPr>
        <b/>
        <sz val="14"/>
        <color theme="1"/>
        <rFont val="Calibri"/>
        <family val="2"/>
        <scheme val="minor"/>
      </rPr>
      <t>20ul</t>
    </r>
    <r>
      <rPr>
        <sz val="14"/>
        <color theme="1"/>
        <rFont val="Calibri"/>
        <family val="2"/>
        <scheme val="minor"/>
      </rPr>
      <t xml:space="preserve"> to each well of rep (will have 18 tubes total)</t>
    </r>
  </si>
  <si>
    <t>NS STING dil 25 R1</t>
  </si>
  <si>
    <t>File Name: Primer Dilutions</t>
  </si>
  <si>
    <t>dilute so 1 ul has the value in a total of 30 ul of water</t>
  </si>
  <si>
    <t>c1 v1 = c2 v 2</t>
  </si>
  <si>
    <t>&lt;-- vol for diluted dna</t>
  </si>
  <si>
    <t>DNA to add to stock</t>
  </si>
  <si>
    <t>Water to Add to stock</t>
  </si>
  <si>
    <t xml:space="preserve"> Add 1 ul of DNA to each RXN </t>
  </si>
  <si>
    <t>10 ul</t>
  </si>
  <si>
    <t>20 ul</t>
  </si>
  <si>
    <t>100 ul</t>
  </si>
  <si>
    <t>500 ul</t>
  </si>
  <si>
    <t>1000 ul</t>
  </si>
  <si>
    <t>tot vol</t>
  </si>
  <si>
    <t>30 ul</t>
  </si>
  <si>
    <t xml:space="preserve">DNA to add to main tube for tech rep (3 rxns) </t>
  </si>
  <si>
    <t>Mix to add to exp tube for tech rep (contains 3 rxns)</t>
  </si>
  <si>
    <t>(131.8) * x = (dil ng) * (dil final vol)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</si>
</sst>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 (Body)"/>
    </font>
    <font>
      <b/>
      <sz val="14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EB5C6"/>
        <bgColor indexed="64"/>
      </patternFill>
    </fill>
    <fill>
      <patternFill patternType="solid">
        <fgColor theme="6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" fillId="13" borderId="0" applyNumberFormat="0" applyBorder="0" applyAlignment="0" applyProtection="0"/>
  </cellStyleXfs>
  <cellXfs count="81">
    <xf numFmtId="0" fontId="0" fillId="0" borderId="0" xfId="0"/>
    <xf numFmtId="0" fontId="5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5" borderId="1" xfId="4" applyFont="1" applyBorder="1" applyAlignment="1">
      <alignment horizontal="center" vertical="center"/>
    </xf>
    <xf numFmtId="0" fontId="3" fillId="7" borderId="1" xfId="6" applyFont="1" applyBorder="1" applyAlignment="1">
      <alignment horizontal="center" vertical="center"/>
    </xf>
    <xf numFmtId="0" fontId="3" fillId="3" borderId="1" xfId="2" applyFont="1" applyBorder="1" applyAlignment="1">
      <alignment horizontal="center" vertical="center"/>
    </xf>
    <xf numFmtId="0" fontId="3" fillId="10" borderId="1" xfId="9" applyFont="1" applyBorder="1" applyAlignment="1">
      <alignment horizontal="center" vertical="center"/>
    </xf>
    <xf numFmtId="0" fontId="3" fillId="7" borderId="2" xfId="6" applyFont="1" applyBorder="1" applyAlignment="1">
      <alignment horizontal="center" vertical="center"/>
    </xf>
    <xf numFmtId="0" fontId="3" fillId="6" borderId="1" xfId="5" applyFont="1" applyBorder="1" applyAlignment="1">
      <alignment horizontal="center" vertical="center"/>
    </xf>
    <xf numFmtId="0" fontId="3" fillId="2" borderId="1" xfId="1" applyFont="1" applyBorder="1" applyAlignment="1">
      <alignment horizontal="center" vertical="center"/>
    </xf>
    <xf numFmtId="0" fontId="3" fillId="4" borderId="1" xfId="3" applyFont="1" applyBorder="1" applyAlignment="1">
      <alignment horizontal="center" vertical="center"/>
    </xf>
    <xf numFmtId="0" fontId="3" fillId="9" borderId="1" xfId="8" applyFont="1" applyBorder="1" applyAlignment="1">
      <alignment horizontal="center" vertical="center"/>
    </xf>
    <xf numFmtId="0" fontId="3" fillId="11" borderId="1" xfId="10" applyFont="1" applyBorder="1" applyAlignment="1">
      <alignment horizontal="center" vertical="center"/>
    </xf>
    <xf numFmtId="0" fontId="9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6" xfId="0" applyFont="1" applyBorder="1"/>
    <xf numFmtId="0" fontId="3" fillId="0" borderId="3" xfId="0" applyFont="1" applyBorder="1"/>
    <xf numFmtId="0" fontId="3" fillId="0" borderId="8" xfId="0" applyFont="1" applyBorder="1"/>
    <xf numFmtId="0" fontId="3" fillId="0" borderId="0" xfId="0" applyFont="1" applyAlignment="1">
      <alignment horizontal="center" vertical="center" wrapText="1"/>
    </xf>
    <xf numFmtId="0" fontId="3" fillId="12" borderId="10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/>
    </xf>
    <xf numFmtId="2" fontId="3" fillId="0" borderId="0" xfId="0" applyNumberFormat="1" applyFont="1"/>
    <xf numFmtId="2" fontId="3" fillId="0" borderId="8" xfId="0" applyNumberFormat="1" applyFont="1" applyBorder="1"/>
    <xf numFmtId="0" fontId="11" fillId="0" borderId="6" xfId="0" applyFont="1" applyBorder="1" applyAlignment="1">
      <alignment horizontal="center"/>
    </xf>
    <xf numFmtId="0" fontId="3" fillId="0" borderId="0" xfId="0" applyFont="1" applyAlignment="1">
      <alignment horizontal="right"/>
    </xf>
    <xf numFmtId="2" fontId="3" fillId="0" borderId="3" xfId="0" applyNumberFormat="1" applyFont="1" applyBorder="1"/>
    <xf numFmtId="2" fontId="3" fillId="0" borderId="6" xfId="0" applyNumberFormat="1" applyFont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2" fontId="3" fillId="0" borderId="0" xfId="0" applyNumberFormat="1" applyFont="1" applyAlignment="1">
      <alignment horizontal="center"/>
    </xf>
    <xf numFmtId="2" fontId="3" fillId="0" borderId="2" xfId="0" applyNumberFormat="1" applyFont="1" applyBorder="1"/>
    <xf numFmtId="2" fontId="3" fillId="0" borderId="8" xfId="0" applyNumberFormat="1" applyFont="1" applyBorder="1" applyAlignment="1">
      <alignment horizontal="center"/>
    </xf>
    <xf numFmtId="2" fontId="9" fillId="0" borderId="0" xfId="0" applyNumberFormat="1" applyFont="1" applyAlignment="1">
      <alignment horizontal="center"/>
    </xf>
    <xf numFmtId="2" fontId="3" fillId="12" borderId="10" xfId="0" applyNumberFormat="1" applyFont="1" applyFill="1" applyBorder="1" applyAlignment="1">
      <alignment horizontal="center"/>
    </xf>
    <xf numFmtId="2" fontId="3" fillId="0" borderId="11" xfId="0" applyNumberFormat="1" applyFont="1" applyBorder="1" applyAlignment="1">
      <alignment horizontal="center"/>
    </xf>
    <xf numFmtId="2" fontId="3" fillId="0" borderId="9" xfId="0" applyNumberFormat="1" applyFont="1" applyBorder="1"/>
    <xf numFmtId="2" fontId="10" fillId="12" borderId="10" xfId="0" applyNumberFormat="1" applyFont="1" applyFill="1" applyBorder="1"/>
    <xf numFmtId="2" fontId="3" fillId="0" borderId="0" xfId="0" applyNumberFormat="1" applyFont="1" applyAlignment="1">
      <alignment horizontal="center" vertical="center" wrapText="1"/>
    </xf>
    <xf numFmtId="2" fontId="3" fillId="0" borderId="6" xfId="0" applyNumberFormat="1" applyFont="1" applyBorder="1"/>
    <xf numFmtId="2" fontId="3" fillId="0" borderId="7" xfId="0" applyNumberFormat="1" applyFont="1" applyBorder="1"/>
    <xf numFmtId="2" fontId="3" fillId="0" borderId="4" xfId="0" applyNumberFormat="1" applyFont="1" applyBorder="1"/>
    <xf numFmtId="2" fontId="3" fillId="5" borderId="1" xfId="4" applyNumberFormat="1" applyFont="1" applyBorder="1" applyAlignment="1">
      <alignment horizontal="center" vertical="center"/>
    </xf>
    <xf numFmtId="2" fontId="3" fillId="2" borderId="5" xfId="1" applyNumberFormat="1" applyFont="1" applyBorder="1" applyAlignment="1">
      <alignment horizontal="center"/>
    </xf>
    <xf numFmtId="2" fontId="3" fillId="8" borderId="5" xfId="7" applyNumberFormat="1" applyFont="1" applyBorder="1" applyAlignment="1">
      <alignment horizontal="center"/>
    </xf>
    <xf numFmtId="2" fontId="3" fillId="2" borderId="4" xfId="1" applyNumberFormat="1" applyFont="1" applyBorder="1" applyAlignment="1">
      <alignment horizontal="center"/>
    </xf>
    <xf numFmtId="2" fontId="3" fillId="8" borderId="4" xfId="7" applyNumberFormat="1" applyFont="1" applyBorder="1" applyAlignment="1">
      <alignment horizontal="center"/>
    </xf>
    <xf numFmtId="2" fontId="3" fillId="9" borderId="1" xfId="8" applyNumberFormat="1" applyFont="1" applyBorder="1" applyAlignment="1">
      <alignment horizontal="center" vertical="center"/>
    </xf>
    <xf numFmtId="2" fontId="3" fillId="0" borderId="12" xfId="0" applyNumberFormat="1" applyFont="1" applyBorder="1" applyAlignment="1">
      <alignment horizontal="center"/>
    </xf>
    <xf numFmtId="2" fontId="9" fillId="0" borderId="13" xfId="0" applyNumberFormat="1" applyFont="1" applyBorder="1" applyAlignment="1">
      <alignment horizontal="center"/>
    </xf>
    <xf numFmtId="2" fontId="3" fillId="2" borderId="14" xfId="1" applyNumberFormat="1" applyFont="1" applyBorder="1" applyAlignment="1">
      <alignment horizontal="center"/>
    </xf>
    <xf numFmtId="2" fontId="3" fillId="8" borderId="14" xfId="7" applyNumberFormat="1" applyFont="1" applyBorder="1" applyAlignment="1">
      <alignment horizontal="center"/>
    </xf>
    <xf numFmtId="2" fontId="3" fillId="2" borderId="1" xfId="1" applyNumberFormat="1" applyFont="1" applyBorder="1" applyAlignment="1">
      <alignment horizontal="center" vertical="center"/>
    </xf>
    <xf numFmtId="2" fontId="3" fillId="0" borderId="13" xfId="0" applyNumberFormat="1" applyFont="1" applyBorder="1" applyAlignment="1">
      <alignment horizontal="center"/>
    </xf>
    <xf numFmtId="2" fontId="3" fillId="2" borderId="13" xfId="1" applyNumberFormat="1" applyFont="1" applyBorder="1" applyAlignment="1">
      <alignment horizontal="center"/>
    </xf>
    <xf numFmtId="2" fontId="3" fillId="2" borderId="0" xfId="1" applyNumberFormat="1" applyFont="1" applyBorder="1" applyAlignment="1">
      <alignment horizontal="center"/>
    </xf>
    <xf numFmtId="2" fontId="3" fillId="2" borderId="3" xfId="1" applyNumberFormat="1" applyFont="1" applyBorder="1" applyAlignment="1">
      <alignment horizontal="center"/>
    </xf>
    <xf numFmtId="2" fontId="9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5" borderId="15" xfId="4" applyNumberFormat="1" applyFont="1" applyBorder="1" applyAlignment="1">
      <alignment vertical="center" wrapText="1"/>
    </xf>
    <xf numFmtId="2" fontId="12" fillId="0" borderId="10" xfId="0" applyNumberFormat="1" applyFont="1" applyBorder="1" applyAlignment="1">
      <alignment horizontal="center" vertical="center"/>
    </xf>
    <xf numFmtId="2" fontId="9" fillId="0" borderId="10" xfId="0" applyNumberFormat="1" applyFont="1" applyBorder="1" applyAlignment="1">
      <alignment horizontal="center" vertical="center"/>
    </xf>
    <xf numFmtId="2" fontId="3" fillId="0" borderId="10" xfId="0" applyNumberFormat="1" applyFont="1" applyBorder="1" applyAlignment="1">
      <alignment horizontal="center"/>
    </xf>
    <xf numFmtId="0" fontId="1" fillId="13" borderId="6" xfId="11" applyBorder="1"/>
    <xf numFmtId="164" fontId="1" fillId="13" borderId="8" xfId="11" applyNumberFormat="1" applyBorder="1" applyAlignment="1">
      <alignment horizontal="center" vertical="center"/>
    </xf>
    <xf numFmtId="164" fontId="1" fillId="13" borderId="0" xfId="11" applyNumberFormat="1"/>
    <xf numFmtId="0" fontId="1" fillId="13" borderId="0" xfId="11"/>
    <xf numFmtId="2" fontId="1" fillId="13" borderId="0" xfId="11" applyNumberFormat="1"/>
    <xf numFmtId="2" fontId="1" fillId="13" borderId="8" xfId="11" applyNumberFormat="1" applyBorder="1"/>
    <xf numFmtId="0" fontId="1" fillId="13" borderId="8" xfId="11" applyBorder="1"/>
    <xf numFmtId="2" fontId="1" fillId="13" borderId="3" xfId="11" applyNumberFormat="1" applyBorder="1"/>
    <xf numFmtId="2" fontId="1" fillId="13" borderId="6" xfId="11" applyNumberFormat="1" applyBorder="1"/>
    <xf numFmtId="0" fontId="1" fillId="13" borderId="0" xfId="11" applyAlignment="1">
      <alignment horizontal="center"/>
    </xf>
  </cellXfs>
  <cellStyles count="12">
    <cellStyle name="20% - Accent2" xfId="1" builtinId="34"/>
    <cellStyle name="20% - Accent4" xfId="4" builtinId="42"/>
    <cellStyle name="20% - Accent5" xfId="7" builtinId="46"/>
    <cellStyle name="20% - Accent6" xfId="8" builtinId="50"/>
    <cellStyle name="40% - Accent2" xfId="2" builtinId="35"/>
    <cellStyle name="40% - Accent4" xfId="5" builtinId="43"/>
    <cellStyle name="40% - Accent6" xfId="9" builtinId="51"/>
    <cellStyle name="60% - Accent2" xfId="3" builtinId="36"/>
    <cellStyle name="60% - Accent3" xfId="11" builtinId="40"/>
    <cellStyle name="60% - Accent4" xfId="6" builtinId="44"/>
    <cellStyle name="60% - Accent6" xfId="10" builtinId="52"/>
    <cellStyle name="Normal" xfId="0" builtinId="0"/>
  </cellStyles>
  <dxfs count="0"/>
  <tableStyles count="0" defaultTableStyle="TableStyleMedium2" defaultPivotStyle="PivotStyleLight16"/>
  <colors>
    <mruColors>
      <color rgb="FFD0BBE0"/>
      <color rgb="FFB09EBD"/>
      <color rgb="FFC3AFD2"/>
      <color rgb="FFE6CEF9"/>
      <color rgb="FFD5B3FA"/>
      <color rgb="FFC7A6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1"/>
  <sheetViews>
    <sheetView tabSelected="1" zoomScale="90" zoomScaleNormal="90" workbookViewId="0">
      <selection activeCell="K20" sqref="K20"/>
    </sheetView>
  </sheetViews>
  <sheetFormatPr baseColWidth="10" defaultColWidth="9.1640625" defaultRowHeight="47" x14ac:dyDescent="0.55000000000000004"/>
  <cols>
    <col min="1" max="1" width="10.33203125" style="1" customWidth="1"/>
    <col min="2" max="4" width="24.1640625" style="1" bestFit="1" customWidth="1"/>
    <col min="5" max="7" width="24.5" style="1" bestFit="1" customWidth="1"/>
    <col min="8" max="10" width="23.6640625" style="1" bestFit="1" customWidth="1"/>
    <col min="11" max="12" width="20.83203125" style="1" bestFit="1" customWidth="1"/>
    <col min="13" max="13" width="21.5" style="1" bestFit="1" customWidth="1"/>
    <col min="14" max="15" width="8.6640625" style="1" customWidth="1"/>
    <col min="16" max="16384" width="9.1640625" style="1"/>
  </cols>
  <sheetData>
    <row r="1" spans="1:18" s="4" customFormat="1" ht="29.75" customHeight="1" x14ac:dyDescent="0.2">
      <c r="A1" s="26" t="s">
        <v>10</v>
      </c>
      <c r="B1" s="26"/>
      <c r="C1" s="26"/>
      <c r="D1" s="26"/>
      <c r="E1" s="27" t="s">
        <v>95</v>
      </c>
      <c r="F1" s="26"/>
      <c r="G1" s="26"/>
      <c r="H1" s="26"/>
      <c r="I1" s="26"/>
      <c r="J1" s="26"/>
      <c r="K1" s="26"/>
      <c r="L1" s="26"/>
      <c r="M1" s="26"/>
    </row>
    <row r="2" spans="1:18" x14ac:dyDescent="0.55000000000000004"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</row>
    <row r="3" spans="1:18" ht="60" customHeight="1" x14ac:dyDescent="0.55000000000000004">
      <c r="A3" s="1" t="s">
        <v>0</v>
      </c>
      <c r="B3" s="8" t="s">
        <v>29</v>
      </c>
      <c r="C3" s="13" t="s">
        <v>30</v>
      </c>
      <c r="D3" s="9" t="s">
        <v>31</v>
      </c>
      <c r="E3" s="16" t="s">
        <v>47</v>
      </c>
      <c r="F3" s="11" t="s">
        <v>48</v>
      </c>
      <c r="G3" s="17" t="s">
        <v>49</v>
      </c>
      <c r="H3" s="14" t="s">
        <v>65</v>
      </c>
      <c r="I3" s="10" t="s">
        <v>71</v>
      </c>
      <c r="J3" s="15" t="s">
        <v>77</v>
      </c>
      <c r="K3" s="2"/>
      <c r="L3" s="2"/>
      <c r="M3" s="2"/>
    </row>
    <row r="4" spans="1:18" ht="60" customHeight="1" x14ac:dyDescent="0.55000000000000004">
      <c r="A4" s="1" t="s">
        <v>1</v>
      </c>
      <c r="B4" s="8" t="s">
        <v>32</v>
      </c>
      <c r="C4" s="13" t="s">
        <v>37</v>
      </c>
      <c r="D4" s="12" t="s">
        <v>42</v>
      </c>
      <c r="E4" s="16" t="s">
        <v>94</v>
      </c>
      <c r="F4" s="11" t="s">
        <v>55</v>
      </c>
      <c r="G4" s="17" t="s">
        <v>60</v>
      </c>
      <c r="H4" s="14" t="s">
        <v>66</v>
      </c>
      <c r="I4" s="10" t="s">
        <v>72</v>
      </c>
      <c r="J4" s="15" t="s">
        <v>78</v>
      </c>
      <c r="K4" s="2"/>
      <c r="L4" s="2"/>
      <c r="M4" s="2"/>
    </row>
    <row r="5" spans="1:18" ht="60" customHeight="1" x14ac:dyDescent="0.55000000000000004">
      <c r="A5" s="1" t="s">
        <v>2</v>
      </c>
      <c r="B5" s="8" t="s">
        <v>33</v>
      </c>
      <c r="C5" s="13" t="s">
        <v>38</v>
      </c>
      <c r="D5" s="9" t="s">
        <v>43</v>
      </c>
      <c r="E5" s="16" t="s">
        <v>51</v>
      </c>
      <c r="F5" s="11" t="s">
        <v>56</v>
      </c>
      <c r="G5" s="17" t="s">
        <v>61</v>
      </c>
      <c r="H5" s="14" t="s">
        <v>67</v>
      </c>
      <c r="I5" s="10" t="s">
        <v>73</v>
      </c>
      <c r="J5" s="15" t="s">
        <v>79</v>
      </c>
      <c r="K5" s="2"/>
      <c r="L5" s="2"/>
      <c r="M5" s="2"/>
    </row>
    <row r="6" spans="1:18" ht="60" customHeight="1" x14ac:dyDescent="0.55000000000000004">
      <c r="A6" s="1" t="s">
        <v>3</v>
      </c>
      <c r="B6" s="8" t="s">
        <v>34</v>
      </c>
      <c r="C6" s="13" t="s">
        <v>39</v>
      </c>
      <c r="D6" s="12" t="s">
        <v>44</v>
      </c>
      <c r="E6" s="16" t="s">
        <v>52</v>
      </c>
      <c r="F6" s="11" t="s">
        <v>57</v>
      </c>
      <c r="G6" s="17" t="s">
        <v>62</v>
      </c>
      <c r="H6" s="14" t="s">
        <v>68</v>
      </c>
      <c r="I6" s="10" t="s">
        <v>74</v>
      </c>
      <c r="J6" s="15" t="s">
        <v>80</v>
      </c>
      <c r="K6" s="2"/>
      <c r="L6" s="2"/>
      <c r="M6" s="2"/>
    </row>
    <row r="7" spans="1:18" ht="60" customHeight="1" x14ac:dyDescent="0.55000000000000004">
      <c r="A7" s="1" t="s">
        <v>4</v>
      </c>
      <c r="B7" s="8" t="s">
        <v>35</v>
      </c>
      <c r="C7" s="13" t="s">
        <v>40</v>
      </c>
      <c r="D7" s="9" t="s">
        <v>45</v>
      </c>
      <c r="E7" s="16" t="s">
        <v>53</v>
      </c>
      <c r="F7" s="11" t="s">
        <v>58</v>
      </c>
      <c r="G7" s="17" t="s">
        <v>63</v>
      </c>
      <c r="H7" s="14" t="s">
        <v>69</v>
      </c>
      <c r="I7" s="10" t="s">
        <v>75</v>
      </c>
      <c r="J7" s="15" t="s">
        <v>81</v>
      </c>
      <c r="K7" s="2"/>
      <c r="L7" s="2"/>
      <c r="M7" s="2"/>
    </row>
    <row r="8" spans="1:18" ht="60" customHeight="1" x14ac:dyDescent="0.55000000000000004">
      <c r="A8" s="1" t="s">
        <v>5</v>
      </c>
      <c r="B8" s="8" t="s">
        <v>36</v>
      </c>
      <c r="C8" s="13" t="s">
        <v>41</v>
      </c>
      <c r="D8" s="12" t="s">
        <v>46</v>
      </c>
      <c r="E8" s="16" t="s">
        <v>54</v>
      </c>
      <c r="F8" s="11" t="s">
        <v>59</v>
      </c>
      <c r="G8" s="17" t="s">
        <v>64</v>
      </c>
      <c r="H8" s="14" t="s">
        <v>70</v>
      </c>
      <c r="I8" s="10" t="s">
        <v>76</v>
      </c>
      <c r="J8" s="15" t="s">
        <v>82</v>
      </c>
      <c r="K8" s="2"/>
      <c r="L8" s="2"/>
      <c r="M8" s="2"/>
      <c r="R8" s="3"/>
    </row>
    <row r="9" spans="1:18" ht="60" customHeight="1" x14ac:dyDescent="0.55000000000000004">
      <c r="A9" s="1" t="s">
        <v>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8" ht="60" customHeight="1" x14ac:dyDescent="0.55000000000000004">
      <c r="A10" s="1" t="s">
        <v>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8" s="6" customFormat="1" ht="19" customHeight="1" x14ac:dyDescent="0.2">
      <c r="A11" s="5" t="s">
        <v>8</v>
      </c>
      <c r="G11" s="28" t="s">
        <v>9</v>
      </c>
      <c r="H11" s="28"/>
      <c r="I11" s="28"/>
      <c r="J11" s="28"/>
      <c r="K11" s="28"/>
      <c r="L11" s="7"/>
      <c r="M11" s="7"/>
    </row>
    <row r="12" spans="1:18" ht="21.75" customHeight="1" x14ac:dyDescent="0.55000000000000004">
      <c r="E12" s="29">
        <v>131.80000000000001</v>
      </c>
    </row>
    <row r="13" spans="1:18" ht="17.25" customHeight="1" thickBot="1" x14ac:dyDescent="0.6">
      <c r="A13" s="3"/>
      <c r="B13" s="3"/>
      <c r="C13" s="3"/>
      <c r="D13" s="3"/>
    </row>
    <row r="14" spans="1:18" ht="48" thickBot="1" x14ac:dyDescent="0.6">
      <c r="B14" s="20"/>
      <c r="C14" s="19"/>
      <c r="D14" s="19" t="s">
        <v>83</v>
      </c>
      <c r="E14" s="25">
        <v>131.80000000000001</v>
      </c>
      <c r="F14" s="19"/>
      <c r="G14" s="19" t="s">
        <v>111</v>
      </c>
      <c r="H14" s="19"/>
      <c r="I14" s="19"/>
      <c r="J14" s="19"/>
      <c r="K14" s="74">
        <v>100</v>
      </c>
      <c r="L14" s="80"/>
      <c r="M14" s="80"/>
    </row>
    <row r="15" spans="1:18" ht="48" thickBot="1" x14ac:dyDescent="0.6">
      <c r="B15" s="20"/>
      <c r="C15" s="19"/>
      <c r="D15" s="19" t="s">
        <v>84</v>
      </c>
      <c r="E15" s="25">
        <v>2</v>
      </c>
      <c r="F15" s="19"/>
      <c r="G15" s="19" t="s">
        <v>97</v>
      </c>
      <c r="H15" s="19">
        <v>20</v>
      </c>
      <c r="I15" s="19" t="s">
        <v>98</v>
      </c>
      <c r="J15" s="19"/>
      <c r="K15" s="74"/>
      <c r="L15" s="80">
        <v>500</v>
      </c>
      <c r="M15" s="80">
        <v>20</v>
      </c>
    </row>
    <row r="16" spans="1:18" x14ac:dyDescent="0.55000000000000004">
      <c r="B16" s="19"/>
      <c r="C16" s="19"/>
      <c r="D16" s="19"/>
      <c r="E16" s="19"/>
      <c r="F16" s="19"/>
      <c r="G16" s="19" t="s">
        <v>96</v>
      </c>
      <c r="H16" s="19" t="s">
        <v>101</v>
      </c>
      <c r="I16" s="19"/>
      <c r="J16" s="19"/>
      <c r="K16" s="74"/>
      <c r="L16" s="80">
        <v>1000</v>
      </c>
      <c r="M16" s="80"/>
    </row>
    <row r="17" spans="2:13" x14ac:dyDescent="0.55000000000000004">
      <c r="B17" s="19"/>
      <c r="C17" s="22" t="s">
        <v>85</v>
      </c>
      <c r="D17" s="71" t="s">
        <v>86</v>
      </c>
      <c r="E17" s="71" t="s">
        <v>87</v>
      </c>
      <c r="F17" s="19"/>
      <c r="G17" s="22" t="s">
        <v>99</v>
      </c>
      <c r="H17" s="21" t="s">
        <v>100</v>
      </c>
      <c r="I17" s="32" t="s">
        <v>107</v>
      </c>
      <c r="J17"/>
      <c r="K17" s="74"/>
      <c r="L17" s="80"/>
      <c r="M17" s="80"/>
    </row>
    <row r="18" spans="2:13" x14ac:dyDescent="0.55000000000000004">
      <c r="B18" s="19"/>
      <c r="C18" s="19">
        <v>100</v>
      </c>
      <c r="D18" s="72">
        <f>C18/E14</f>
        <v>0.75872534142640358</v>
      </c>
      <c r="E18" s="72">
        <f>E15-D18</f>
        <v>1.2412746585735963</v>
      </c>
      <c r="F18" s="19"/>
      <c r="G18" s="30">
        <f>(C18*H15)/E14</f>
        <v>15.174506828528072</v>
      </c>
      <c r="H18" s="31">
        <f>H15-G18</f>
        <v>4.825493171471928</v>
      </c>
      <c r="I18" s="23" t="s">
        <v>103</v>
      </c>
      <c r="J18">
        <v>1</v>
      </c>
      <c r="K18"/>
    </row>
    <row r="19" spans="2:13" x14ac:dyDescent="0.55000000000000004">
      <c r="B19" s="19"/>
      <c r="C19" s="19">
        <f>C18/4</f>
        <v>25</v>
      </c>
      <c r="D19" s="72">
        <f>C19/E14</f>
        <v>0.18968133535660089</v>
      </c>
      <c r="E19" s="72">
        <f>E15-D19</f>
        <v>1.8103186646433991</v>
      </c>
      <c r="F19" s="19"/>
      <c r="G19" s="75">
        <f>(C19*H15)/E14</f>
        <v>3.793626707132018</v>
      </c>
      <c r="H19" s="76">
        <f>H15-G19</f>
        <v>16.206373292867983</v>
      </c>
      <c r="I19" s="77" t="s">
        <v>102</v>
      </c>
      <c r="J19"/>
      <c r="K19"/>
    </row>
    <row r="20" spans="2:13" x14ac:dyDescent="0.55000000000000004">
      <c r="B20" s="19"/>
      <c r="C20" s="19">
        <f t="shared" ref="C20:C23" si="0">C19/4</f>
        <v>6.25</v>
      </c>
      <c r="D20" s="72">
        <f>C20/E14</f>
        <v>4.7420333839150224E-2</v>
      </c>
      <c r="E20" s="72">
        <f>E15-D20</f>
        <v>1.9525796661608499</v>
      </c>
      <c r="F20" s="19"/>
      <c r="G20" s="75">
        <f>(C20*M15)/E14</f>
        <v>0.9484066767830045</v>
      </c>
      <c r="H20" s="76">
        <f>M15-G20</f>
        <v>19.051593323216995</v>
      </c>
      <c r="I20" s="77" t="s">
        <v>108</v>
      </c>
      <c r="J20"/>
      <c r="K20"/>
    </row>
    <row r="21" spans="2:13" x14ac:dyDescent="0.55000000000000004">
      <c r="B21" s="19"/>
      <c r="C21" s="19">
        <f t="shared" si="0"/>
        <v>1.5625</v>
      </c>
      <c r="D21" s="72">
        <f>C21/E14</f>
        <v>1.1855083459787556E-2</v>
      </c>
      <c r="E21" s="72">
        <f>E15-D21</f>
        <v>1.9881449165402125</v>
      </c>
      <c r="F21" s="19"/>
      <c r="G21" s="75">
        <f>(C21*K14)/E14</f>
        <v>1.1855083459787557</v>
      </c>
      <c r="H21" s="76">
        <f>K14-G21</f>
        <v>98.814491654021239</v>
      </c>
      <c r="I21" s="77" t="s">
        <v>104</v>
      </c>
      <c r="J21"/>
      <c r="K21"/>
    </row>
    <row r="22" spans="2:13" x14ac:dyDescent="0.55000000000000004">
      <c r="B22" s="19"/>
      <c r="C22" s="19">
        <f>C21/4</f>
        <v>0.390625</v>
      </c>
      <c r="D22" s="72">
        <f>C22/E14</f>
        <v>2.963770864946889E-3</v>
      </c>
      <c r="E22" s="72">
        <f>E15-D22</f>
        <v>1.9970362291350532</v>
      </c>
      <c r="F22" s="19"/>
      <c r="G22" s="75">
        <f>(C22*L15)/E14</f>
        <v>1.4818854324734445</v>
      </c>
      <c r="H22" s="76">
        <f>L15-G22</f>
        <v>498.51811456752654</v>
      </c>
      <c r="I22" s="77" t="s">
        <v>105</v>
      </c>
      <c r="J22"/>
      <c r="K22"/>
    </row>
    <row r="23" spans="2:13" x14ac:dyDescent="0.55000000000000004">
      <c r="B23" s="19"/>
      <c r="C23" s="19">
        <f t="shared" si="0"/>
        <v>9.765625E-2</v>
      </c>
      <c r="D23" s="72">
        <f>C23/E14</f>
        <v>7.4094271623672224E-4</v>
      </c>
      <c r="E23" s="72">
        <f>E15-D23</f>
        <v>1.9992590572837632</v>
      </c>
      <c r="F23" s="19"/>
      <c r="G23" s="78">
        <f>(C23*L16)/E14</f>
        <v>0.74094271623672225</v>
      </c>
      <c r="H23" s="79">
        <f>L16-G23</f>
        <v>999.25905728376324</v>
      </c>
      <c r="I23" s="71" t="s">
        <v>106</v>
      </c>
      <c r="J23"/>
      <c r="K23"/>
    </row>
    <row r="24" spans="2:13" x14ac:dyDescent="0.55000000000000004">
      <c r="B24" s="19"/>
      <c r="C24" s="19" t="s">
        <v>88</v>
      </c>
      <c r="D24" s="73">
        <f>SUM(D18:D23)</f>
        <v>1.0113868076631258</v>
      </c>
      <c r="E24" s="74"/>
      <c r="F24" s="33" t="s">
        <v>88</v>
      </c>
      <c r="G24" s="75">
        <f>SUM(G18:G23)</f>
        <v>23.32487670713202</v>
      </c>
      <c r="H24" s="74"/>
      <c r="I24" s="77"/>
      <c r="J24"/>
      <c r="K24"/>
    </row>
    <row r="25" spans="2:13" x14ac:dyDescent="0.55000000000000004">
      <c r="B25" s="18" t="s">
        <v>14</v>
      </c>
      <c r="C25" s="20"/>
      <c r="D25" s="20"/>
      <c r="E25" s="20"/>
      <c r="F25" s="20"/>
      <c r="G25" s="24"/>
      <c r="H25" s="19"/>
      <c r="I25" s="19"/>
      <c r="J25"/>
      <c r="K25"/>
    </row>
    <row r="26" spans="2:13" ht="48" thickBot="1" x14ac:dyDescent="0.6">
      <c r="B26" s="34"/>
      <c r="C26" s="35" t="s">
        <v>15</v>
      </c>
      <c r="D26" s="36" t="s">
        <v>16</v>
      </c>
      <c r="E26" s="36" t="s">
        <v>17</v>
      </c>
      <c r="F26" s="36" t="s">
        <v>18</v>
      </c>
      <c r="G26" s="37" t="s">
        <v>11</v>
      </c>
      <c r="H26" s="38" t="s">
        <v>19</v>
      </c>
      <c r="I26" s="35" t="s">
        <v>20</v>
      </c>
      <c r="J26"/>
      <c r="K26"/>
    </row>
    <row r="27" spans="2:13" ht="48" thickBot="1" x14ac:dyDescent="0.6">
      <c r="B27" s="30" t="s">
        <v>21</v>
      </c>
      <c r="C27" s="39">
        <f>20-H27</f>
        <v>7.4</v>
      </c>
      <c r="D27" s="40">
        <v>0.8</v>
      </c>
      <c r="E27" s="40">
        <v>0.8</v>
      </c>
      <c r="F27" s="40">
        <v>10</v>
      </c>
      <c r="G27" s="41">
        <f>J18</f>
        <v>1</v>
      </c>
      <c r="H27" s="42">
        <f>SUM(D27:G27)</f>
        <v>12.6</v>
      </c>
      <c r="I27" s="39">
        <f>SUM(C27:G27)</f>
        <v>20</v>
      </c>
      <c r="J27"/>
      <c r="K27"/>
    </row>
    <row r="28" spans="2:13" x14ac:dyDescent="0.55000000000000004">
      <c r="B28" s="30" t="s">
        <v>22</v>
      </c>
      <c r="C28" s="39">
        <f>C27*0.1</f>
        <v>0.7400000000000001</v>
      </c>
      <c r="D28" s="37">
        <f t="shared" ref="D28:G28" si="1">D27*0.1</f>
        <v>8.0000000000000016E-2</v>
      </c>
      <c r="E28" s="37">
        <f t="shared" si="1"/>
        <v>8.0000000000000016E-2</v>
      </c>
      <c r="F28" s="37">
        <f t="shared" si="1"/>
        <v>1</v>
      </c>
      <c r="G28" s="37">
        <f t="shared" si="1"/>
        <v>0.1</v>
      </c>
      <c r="H28" s="43"/>
      <c r="I28" s="31"/>
      <c r="J28"/>
      <c r="K28"/>
    </row>
    <row r="29" spans="2:13" x14ac:dyDescent="0.55000000000000004">
      <c r="B29" s="30" t="s">
        <v>23</v>
      </c>
      <c r="C29" s="39">
        <f>C27+C28</f>
        <v>8.14</v>
      </c>
      <c r="D29" s="37">
        <f t="shared" ref="D29:G29" si="2">D27+D28</f>
        <v>0.88000000000000012</v>
      </c>
      <c r="E29" s="37">
        <f t="shared" si="2"/>
        <v>0.88000000000000012</v>
      </c>
      <c r="F29" s="37">
        <f t="shared" si="2"/>
        <v>11</v>
      </c>
      <c r="G29" s="37">
        <f t="shared" si="2"/>
        <v>1.1000000000000001</v>
      </c>
      <c r="H29" s="43"/>
      <c r="I29" s="31"/>
      <c r="J29" s="6"/>
      <c r="K29"/>
    </row>
    <row r="30" spans="2:13" ht="48" thickBot="1" x14ac:dyDescent="0.6">
      <c r="B30" s="30"/>
      <c r="C30" s="37"/>
      <c r="D30" s="37"/>
      <c r="E30" s="37"/>
      <c r="F30" s="37"/>
      <c r="G30" s="37"/>
      <c r="H30" s="30"/>
      <c r="I30" s="30"/>
      <c r="J30" s="6"/>
      <c r="K30"/>
    </row>
    <row r="31" spans="2:13" ht="48" thickBot="1" x14ac:dyDescent="0.6">
      <c r="B31" s="44">
        <v>3</v>
      </c>
      <c r="C31" s="45" t="s">
        <v>28</v>
      </c>
      <c r="D31" s="37"/>
      <c r="E31" s="37"/>
      <c r="F31" s="37"/>
      <c r="G31" s="37"/>
      <c r="H31" s="30"/>
      <c r="I31" s="30"/>
      <c r="J31" s="6"/>
      <c r="K31"/>
    </row>
    <row r="32" spans="2:13" x14ac:dyDescent="0.55000000000000004">
      <c r="B32" s="30"/>
      <c r="C32" s="46" t="s">
        <v>24</v>
      </c>
      <c r="D32" s="34" t="s">
        <v>25</v>
      </c>
      <c r="E32" s="34" t="s">
        <v>26</v>
      </c>
      <c r="F32" s="47" t="s">
        <v>27</v>
      </c>
      <c r="G32" s="48" t="s">
        <v>11</v>
      </c>
      <c r="H32" s="48" t="s">
        <v>12</v>
      </c>
      <c r="I32" s="30" t="s">
        <v>13</v>
      </c>
      <c r="J32" s="6"/>
      <c r="K32"/>
    </row>
    <row r="33" spans="2:11" x14ac:dyDescent="0.55000000000000004">
      <c r="B33" s="49" t="s">
        <v>29</v>
      </c>
      <c r="C33" s="37">
        <f>C29*B31</f>
        <v>24.42</v>
      </c>
      <c r="D33" s="40">
        <f>D29*B31</f>
        <v>2.6400000000000006</v>
      </c>
      <c r="E33" s="40">
        <f>E29*B31</f>
        <v>2.6400000000000006</v>
      </c>
      <c r="F33" s="40">
        <f>F29*B31</f>
        <v>33</v>
      </c>
      <c r="G33" s="50">
        <f>G29*B31</f>
        <v>3.3000000000000003</v>
      </c>
      <c r="H33" s="51">
        <f>20-G33</f>
        <v>16.7</v>
      </c>
      <c r="I33" s="30">
        <f>G33+H33</f>
        <v>20</v>
      </c>
      <c r="J33" s="6"/>
      <c r="K33"/>
    </row>
    <row r="34" spans="2:11" x14ac:dyDescent="0.55000000000000004">
      <c r="B34" s="49" t="s">
        <v>32</v>
      </c>
      <c r="C34" s="37">
        <f>C29*B31</f>
        <v>24.42</v>
      </c>
      <c r="D34" s="37">
        <f>D29*B31</f>
        <v>2.6400000000000006</v>
      </c>
      <c r="E34" s="37">
        <f>E29*B31</f>
        <v>2.6400000000000006</v>
      </c>
      <c r="F34" s="37">
        <f>F29*B31</f>
        <v>33</v>
      </c>
      <c r="G34" s="50">
        <f>G29*B31</f>
        <v>3.3000000000000003</v>
      </c>
      <c r="H34" s="51">
        <f>20-G34</f>
        <v>16.7</v>
      </c>
      <c r="I34" s="30"/>
      <c r="J34" s="6"/>
      <c r="K34"/>
    </row>
    <row r="35" spans="2:11" x14ac:dyDescent="0.55000000000000004">
      <c r="B35" s="49" t="s">
        <v>33</v>
      </c>
      <c r="C35" s="37">
        <f>C29*B31</f>
        <v>24.42</v>
      </c>
      <c r="D35" s="37">
        <f>E29*B31</f>
        <v>2.6400000000000006</v>
      </c>
      <c r="E35" s="37">
        <f>E29*B31</f>
        <v>2.6400000000000006</v>
      </c>
      <c r="F35" s="37">
        <f>F29*B31</f>
        <v>33</v>
      </c>
      <c r="G35" s="50">
        <f>G29*B31</f>
        <v>3.3000000000000003</v>
      </c>
      <c r="H35" s="51">
        <f>20-G35</f>
        <v>16.7</v>
      </c>
      <c r="I35" s="30"/>
      <c r="J35" s="6"/>
      <c r="K35"/>
    </row>
    <row r="36" spans="2:11" x14ac:dyDescent="0.55000000000000004">
      <c r="B36" s="49" t="s">
        <v>34</v>
      </c>
      <c r="C36" s="37">
        <f>C29*B31</f>
        <v>24.42</v>
      </c>
      <c r="D36" s="37">
        <f>E29*B31</f>
        <v>2.6400000000000006</v>
      </c>
      <c r="E36" s="37">
        <f>E29*B31</f>
        <v>2.6400000000000006</v>
      </c>
      <c r="F36" s="37">
        <f>F29*B31</f>
        <v>33</v>
      </c>
      <c r="G36" s="50">
        <f>G29*B31</f>
        <v>3.3000000000000003</v>
      </c>
      <c r="H36" s="51">
        <f t="shared" ref="H36:H38" si="3">20-G36</f>
        <v>16.7</v>
      </c>
      <c r="I36" s="30"/>
      <c r="J36" s="6"/>
      <c r="K36"/>
    </row>
    <row r="37" spans="2:11" x14ac:dyDescent="0.55000000000000004">
      <c r="B37" s="49" t="s">
        <v>35</v>
      </c>
      <c r="C37" s="37">
        <f>C29*B31</f>
        <v>24.42</v>
      </c>
      <c r="D37" s="37">
        <f>E29*B31</f>
        <v>2.6400000000000006</v>
      </c>
      <c r="E37" s="37">
        <f>E29*B31</f>
        <v>2.6400000000000006</v>
      </c>
      <c r="F37" s="37">
        <f>F29*B31</f>
        <v>33</v>
      </c>
      <c r="G37" s="50">
        <f>G29*B31</f>
        <v>3.3000000000000003</v>
      </c>
      <c r="H37" s="51">
        <f t="shared" si="3"/>
        <v>16.7</v>
      </c>
      <c r="I37" s="30"/>
      <c r="J37" s="6"/>
      <c r="K37"/>
    </row>
    <row r="38" spans="2:11" x14ac:dyDescent="0.55000000000000004">
      <c r="B38" s="49" t="s">
        <v>36</v>
      </c>
      <c r="C38" s="35">
        <f>C29*B31</f>
        <v>24.42</v>
      </c>
      <c r="D38" s="36">
        <f>E29*B31</f>
        <v>2.6400000000000006</v>
      </c>
      <c r="E38" s="36">
        <f>E29*B31</f>
        <v>2.6400000000000006</v>
      </c>
      <c r="F38" s="36">
        <f>F29*B31</f>
        <v>33</v>
      </c>
      <c r="G38" s="52">
        <f>G29*B31</f>
        <v>3.3000000000000003</v>
      </c>
      <c r="H38" s="53">
        <f t="shared" si="3"/>
        <v>16.7</v>
      </c>
      <c r="I38" s="30"/>
      <c r="J38" s="6"/>
      <c r="K38"/>
    </row>
    <row r="39" spans="2:11" x14ac:dyDescent="0.55000000000000004">
      <c r="B39" s="37"/>
      <c r="C39" s="37">
        <f>SUM(C33:C38)</f>
        <v>146.52000000000001</v>
      </c>
      <c r="D39" s="37">
        <f>SUM(D33:D38)</f>
        <v>15.840000000000003</v>
      </c>
      <c r="E39" s="37">
        <f>SUM(E33:E38)</f>
        <v>15.840000000000003</v>
      </c>
      <c r="F39" s="37">
        <f>SUM(F33:F38)</f>
        <v>198</v>
      </c>
      <c r="G39" s="37" t="s">
        <v>92</v>
      </c>
      <c r="H39" s="37"/>
      <c r="I39" s="30"/>
      <c r="J39" s="6"/>
      <c r="K39"/>
    </row>
    <row r="40" spans="2:11" x14ac:dyDescent="0.55000000000000004">
      <c r="B40" s="30"/>
      <c r="C40" s="30"/>
      <c r="D40" s="30"/>
      <c r="E40" s="30"/>
      <c r="F40" s="30"/>
      <c r="G40" s="30"/>
      <c r="H40" s="30"/>
      <c r="I40" s="30"/>
      <c r="J40" s="6"/>
      <c r="K40"/>
    </row>
    <row r="41" spans="2:11" x14ac:dyDescent="0.55000000000000004">
      <c r="B41" s="54" t="s">
        <v>47</v>
      </c>
      <c r="C41" s="55">
        <f>C29*B31</f>
        <v>24.42</v>
      </c>
      <c r="D41" s="56">
        <f>D29*B31</f>
        <v>2.6400000000000006</v>
      </c>
      <c r="E41" s="56">
        <f>D29*B31</f>
        <v>2.6400000000000006</v>
      </c>
      <c r="F41" s="56">
        <f>F29*B31</f>
        <v>33</v>
      </c>
      <c r="G41" s="57">
        <f>G29*B31</f>
        <v>3.3000000000000003</v>
      </c>
      <c r="H41" s="58">
        <f>20-G41</f>
        <v>16.7</v>
      </c>
      <c r="I41" s="30">
        <f>G41+H41</f>
        <v>20</v>
      </c>
      <c r="J41" s="6"/>
    </row>
    <row r="42" spans="2:11" x14ac:dyDescent="0.55000000000000004">
      <c r="B42" s="54" t="s">
        <v>50</v>
      </c>
      <c r="C42" s="39">
        <f>C29*B31</f>
        <v>24.42</v>
      </c>
      <c r="D42" s="37">
        <f>D29*B31</f>
        <v>2.6400000000000006</v>
      </c>
      <c r="E42" s="37">
        <f>D29*B31</f>
        <v>2.6400000000000006</v>
      </c>
      <c r="F42" s="37">
        <f>F29*B31</f>
        <v>33</v>
      </c>
      <c r="G42" s="50">
        <f>G29*B31</f>
        <v>3.3000000000000003</v>
      </c>
      <c r="H42" s="51">
        <f t="shared" ref="H42:H46" si="4">20-G42</f>
        <v>16.7</v>
      </c>
      <c r="I42" s="30"/>
      <c r="J42" s="6"/>
    </row>
    <row r="43" spans="2:11" x14ac:dyDescent="0.55000000000000004">
      <c r="B43" s="54" t="s">
        <v>51</v>
      </c>
      <c r="C43" s="37">
        <f>C29*B31</f>
        <v>24.42</v>
      </c>
      <c r="D43" s="37">
        <f>D29*B31</f>
        <v>2.6400000000000006</v>
      </c>
      <c r="E43" s="37">
        <f>D29*B31</f>
        <v>2.6400000000000006</v>
      </c>
      <c r="F43" s="37">
        <f>F29*B31</f>
        <v>33</v>
      </c>
      <c r="G43" s="50">
        <f>G29*B31</f>
        <v>3.3000000000000003</v>
      </c>
      <c r="H43" s="51">
        <f t="shared" si="4"/>
        <v>16.7</v>
      </c>
      <c r="I43" s="30"/>
      <c r="J43" s="6"/>
    </row>
    <row r="44" spans="2:11" x14ac:dyDescent="0.55000000000000004">
      <c r="B44" s="54" t="s">
        <v>52</v>
      </c>
      <c r="C44" s="37">
        <f>C29*B31</f>
        <v>24.42</v>
      </c>
      <c r="D44" s="37">
        <f>D29*B31</f>
        <v>2.6400000000000006</v>
      </c>
      <c r="E44" s="37">
        <f>D29*B31</f>
        <v>2.6400000000000006</v>
      </c>
      <c r="F44" s="37">
        <f>F29*B31</f>
        <v>33</v>
      </c>
      <c r="G44" s="50">
        <f>G29*B31</f>
        <v>3.3000000000000003</v>
      </c>
      <c r="H44" s="51">
        <f>20-G44</f>
        <v>16.7</v>
      </c>
      <c r="I44" s="30"/>
      <c r="J44" s="6"/>
    </row>
    <row r="45" spans="2:11" x14ac:dyDescent="0.55000000000000004">
      <c r="B45" s="54" t="s">
        <v>53</v>
      </c>
      <c r="C45" s="37">
        <f>C29*B31</f>
        <v>24.42</v>
      </c>
      <c r="D45" s="37">
        <f>D29*B31</f>
        <v>2.6400000000000006</v>
      </c>
      <c r="E45" s="37">
        <f>D29*B31</f>
        <v>2.6400000000000006</v>
      </c>
      <c r="F45" s="37">
        <f>F29*B31</f>
        <v>33</v>
      </c>
      <c r="G45" s="50">
        <f>G29*B31</f>
        <v>3.3000000000000003</v>
      </c>
      <c r="H45" s="51">
        <f t="shared" si="4"/>
        <v>16.7</v>
      </c>
      <c r="I45" s="30"/>
      <c r="J45" s="6"/>
    </row>
    <row r="46" spans="2:11" x14ac:dyDescent="0.55000000000000004">
      <c r="B46" s="54" t="s">
        <v>54</v>
      </c>
      <c r="C46" s="35">
        <f>C29*B31</f>
        <v>24.42</v>
      </c>
      <c r="D46" s="36">
        <f>D29*B31</f>
        <v>2.6400000000000006</v>
      </c>
      <c r="E46" s="36">
        <f>D29*B31</f>
        <v>2.6400000000000006</v>
      </c>
      <c r="F46" s="36">
        <f>F29*B31</f>
        <v>33</v>
      </c>
      <c r="G46" s="52">
        <f>G29*B31</f>
        <v>3.3000000000000003</v>
      </c>
      <c r="H46" s="53">
        <f t="shared" si="4"/>
        <v>16.7</v>
      </c>
      <c r="I46" s="30"/>
      <c r="J46" s="6"/>
    </row>
    <row r="47" spans="2:11" x14ac:dyDescent="0.55000000000000004">
      <c r="B47" s="37"/>
      <c r="C47" s="37">
        <f>SUM(C33:C38)</f>
        <v>146.52000000000001</v>
      </c>
      <c r="D47" s="37">
        <f>SUM(D41:D46)</f>
        <v>15.840000000000003</v>
      </c>
      <c r="E47" s="37">
        <f>SUM(E41:E46)</f>
        <v>15.840000000000003</v>
      </c>
      <c r="F47" s="37">
        <f>SUM(F41:F46)</f>
        <v>198</v>
      </c>
      <c r="G47" s="37" t="s">
        <v>92</v>
      </c>
      <c r="H47" s="37"/>
      <c r="I47" s="30"/>
      <c r="J47" s="6"/>
    </row>
    <row r="48" spans="2:11" x14ac:dyDescent="0.55000000000000004">
      <c r="B48" s="37"/>
      <c r="C48" s="37"/>
      <c r="D48" s="37"/>
      <c r="E48" s="37"/>
      <c r="F48" s="37"/>
      <c r="G48" s="37"/>
      <c r="H48" s="37"/>
      <c r="I48" s="30"/>
      <c r="J48" s="6"/>
    </row>
    <row r="49" spans="2:10" x14ac:dyDescent="0.55000000000000004">
      <c r="B49" s="59" t="s">
        <v>65</v>
      </c>
      <c r="C49" s="55">
        <f>C29*B31</f>
        <v>24.42</v>
      </c>
      <c r="D49" s="60">
        <f>D29*B31</f>
        <v>2.6400000000000006</v>
      </c>
      <c r="E49" s="60">
        <f>D29*B31</f>
        <v>2.6400000000000006</v>
      </c>
      <c r="F49" s="60">
        <f>F29*B31</f>
        <v>33</v>
      </c>
      <c r="G49" s="61">
        <f>G29*B31</f>
        <v>3.3000000000000003</v>
      </c>
      <c r="H49" s="58">
        <f>20-G49</f>
        <v>16.7</v>
      </c>
      <c r="I49" s="30">
        <f>G49+H49</f>
        <v>20</v>
      </c>
      <c r="J49" s="6"/>
    </row>
    <row r="50" spans="2:10" x14ac:dyDescent="0.55000000000000004">
      <c r="B50" s="59" t="s">
        <v>66</v>
      </c>
      <c r="C50" s="39">
        <f>C29*B31</f>
        <v>24.42</v>
      </c>
      <c r="D50" s="37">
        <f>D29*B31</f>
        <v>2.6400000000000006</v>
      </c>
      <c r="E50" s="37">
        <f>D29*B31</f>
        <v>2.6400000000000006</v>
      </c>
      <c r="F50" s="37">
        <f>F29*B31</f>
        <v>33</v>
      </c>
      <c r="G50" s="62">
        <f>G29*B31</f>
        <v>3.3000000000000003</v>
      </c>
      <c r="H50" s="51">
        <f>20-G50</f>
        <v>16.7</v>
      </c>
      <c r="I50" s="30"/>
      <c r="J50" s="6"/>
    </row>
    <row r="51" spans="2:10" x14ac:dyDescent="0.55000000000000004">
      <c r="B51" s="59" t="s">
        <v>67</v>
      </c>
      <c r="C51" s="37">
        <f>C29*B31</f>
        <v>24.42</v>
      </c>
      <c r="D51" s="37">
        <f>D29*B31</f>
        <v>2.6400000000000006</v>
      </c>
      <c r="E51" s="37">
        <f>D29*B31</f>
        <v>2.6400000000000006</v>
      </c>
      <c r="F51" s="37">
        <f>F29*B31</f>
        <v>33</v>
      </c>
      <c r="G51" s="62">
        <f>G29*B31</f>
        <v>3.3000000000000003</v>
      </c>
      <c r="H51" s="51">
        <f t="shared" ref="H51:H54" si="5">20-G51</f>
        <v>16.7</v>
      </c>
      <c r="I51" s="30"/>
      <c r="J51" s="6"/>
    </row>
    <row r="52" spans="2:10" x14ac:dyDescent="0.55000000000000004">
      <c r="B52" s="59" t="s">
        <v>68</v>
      </c>
      <c r="C52" s="37">
        <f>C29*B31</f>
        <v>24.42</v>
      </c>
      <c r="D52" s="37">
        <f>D29*B31</f>
        <v>2.6400000000000006</v>
      </c>
      <c r="E52" s="37">
        <f>D29*B31</f>
        <v>2.6400000000000006</v>
      </c>
      <c r="F52" s="37">
        <f>F29*B31</f>
        <v>33</v>
      </c>
      <c r="G52" s="62">
        <f>G29*B31</f>
        <v>3.3000000000000003</v>
      </c>
      <c r="H52" s="51">
        <f>20-G52</f>
        <v>16.7</v>
      </c>
      <c r="I52" s="30"/>
      <c r="J52" s="6"/>
    </row>
    <row r="53" spans="2:10" x14ac:dyDescent="0.55000000000000004">
      <c r="B53" s="59" t="s">
        <v>69</v>
      </c>
      <c r="C53" s="37">
        <f>C29*B31</f>
        <v>24.42</v>
      </c>
      <c r="D53" s="37">
        <f>D29*B31</f>
        <v>2.6400000000000006</v>
      </c>
      <c r="E53" s="37">
        <f>D29*B31</f>
        <v>2.6400000000000006</v>
      </c>
      <c r="F53" s="37">
        <f>F29*B31</f>
        <v>33</v>
      </c>
      <c r="G53" s="62">
        <f>G29*B31</f>
        <v>3.3000000000000003</v>
      </c>
      <c r="H53" s="51">
        <f t="shared" si="5"/>
        <v>16.7</v>
      </c>
      <c r="I53" s="30"/>
      <c r="J53" s="6"/>
    </row>
    <row r="54" spans="2:10" x14ac:dyDescent="0.55000000000000004">
      <c r="B54" s="59" t="s">
        <v>70</v>
      </c>
      <c r="C54" s="35">
        <f>C29*B31</f>
        <v>24.42</v>
      </c>
      <c r="D54" s="36">
        <f>D29*B31</f>
        <v>2.6400000000000006</v>
      </c>
      <c r="E54" s="36">
        <f>D29*B31</f>
        <v>2.6400000000000006</v>
      </c>
      <c r="F54" s="36">
        <f>F29*B31</f>
        <v>33</v>
      </c>
      <c r="G54" s="63">
        <f>G29*B31</f>
        <v>3.3000000000000003</v>
      </c>
      <c r="H54" s="53">
        <f t="shared" si="5"/>
        <v>16.7</v>
      </c>
      <c r="I54" s="30"/>
      <c r="J54" s="6"/>
    </row>
    <row r="55" spans="2:10" x14ac:dyDescent="0.55000000000000004">
      <c r="B55" s="30"/>
      <c r="C55" s="30">
        <f>SUM(C33:C38)</f>
        <v>146.52000000000001</v>
      </c>
      <c r="D55" s="37">
        <f>SUM(D49:D54)</f>
        <v>15.840000000000003</v>
      </c>
      <c r="E55" s="37">
        <f>SUM(E49:E54)</f>
        <v>15.840000000000003</v>
      </c>
      <c r="F55" s="37">
        <f>SUM(F49:F54)</f>
        <v>198</v>
      </c>
      <c r="G55" s="37" t="s">
        <v>92</v>
      </c>
      <c r="H55" s="30"/>
      <c r="I55" s="30"/>
      <c r="J55" s="6"/>
    </row>
    <row r="56" spans="2:10" x14ac:dyDescent="0.55000000000000004">
      <c r="B56" s="30"/>
      <c r="C56" s="30"/>
      <c r="D56" s="30"/>
      <c r="E56" s="30"/>
      <c r="F56" s="30"/>
      <c r="G56" s="30"/>
      <c r="H56" s="30"/>
      <c r="I56" s="30"/>
      <c r="J56" s="6"/>
    </row>
    <row r="57" spans="2:10" ht="48" thickBot="1" x14ac:dyDescent="0.6">
      <c r="B57" s="30"/>
      <c r="C57" s="30" t="s">
        <v>93</v>
      </c>
      <c r="D57" s="30"/>
      <c r="E57" s="30"/>
      <c r="F57" s="30"/>
      <c r="G57" s="30"/>
      <c r="H57" s="30"/>
      <c r="I57" s="30"/>
      <c r="J57" s="6"/>
    </row>
    <row r="58" spans="2:10" ht="48" thickBot="1" x14ac:dyDescent="0.6">
      <c r="B58" s="30"/>
      <c r="C58" s="37">
        <f>C29*B31</f>
        <v>24.42</v>
      </c>
      <c r="D58" s="37">
        <f>D29*3</f>
        <v>2.6400000000000006</v>
      </c>
      <c r="E58" s="37">
        <f>E29*3</f>
        <v>2.6400000000000006</v>
      </c>
      <c r="F58" s="37">
        <f>F29*3</f>
        <v>33</v>
      </c>
      <c r="G58" s="70">
        <f>SUM(C58:F58)</f>
        <v>62.7</v>
      </c>
      <c r="H58" s="30" t="s">
        <v>89</v>
      </c>
      <c r="I58" s="30"/>
      <c r="J58" s="6"/>
    </row>
    <row r="59" spans="2:10" ht="48" thickBot="1" x14ac:dyDescent="0.6">
      <c r="B59" s="30"/>
      <c r="C59" s="30"/>
      <c r="D59" s="30"/>
      <c r="E59" s="30"/>
      <c r="F59" s="30"/>
      <c r="G59" s="30"/>
      <c r="H59" s="30"/>
      <c r="I59" s="30"/>
      <c r="J59" s="6"/>
    </row>
    <row r="60" spans="2:10" ht="167" thickBot="1" x14ac:dyDescent="0.6">
      <c r="B60" s="64"/>
      <c r="C60" s="67" t="s">
        <v>110</v>
      </c>
      <c r="D60" s="68">
        <f>G58</f>
        <v>62.7</v>
      </c>
      <c r="E60" s="65"/>
      <c r="F60" s="66" t="s">
        <v>90</v>
      </c>
      <c r="G60" s="30"/>
      <c r="H60" s="66" t="s">
        <v>91</v>
      </c>
      <c r="J60" s="65"/>
    </row>
    <row r="61" spans="2:10" ht="61" thickBot="1" x14ac:dyDescent="0.6">
      <c r="B61" s="65"/>
      <c r="C61" s="67" t="s">
        <v>109</v>
      </c>
      <c r="D61" s="69">
        <f>G33</f>
        <v>3.3000000000000003</v>
      </c>
      <c r="E61" s="65"/>
    </row>
  </sheetData>
  <mergeCells count="3">
    <mergeCell ref="A1:D1"/>
    <mergeCell ref="E1:M1"/>
    <mergeCell ref="G11:K11"/>
  </mergeCells>
  <pageMargins left="0" right="0" top="0" bottom="0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Microsoft Office User</cp:lastModifiedBy>
  <cp:lastPrinted>2019-06-29T18:56:25Z</cp:lastPrinted>
  <dcterms:created xsi:type="dcterms:W3CDTF">2019-06-29T04:26:56Z</dcterms:created>
  <dcterms:modified xsi:type="dcterms:W3CDTF">2023-07-12T13:14:43Z</dcterms:modified>
</cp:coreProperties>
</file>