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dney/Library/CloudStorage/GoogleDrive-sbirch1@uncc.edu/My Drive/Postdoc_work/Immunity_gene_Project/qPCR/Primer_efficiency/"/>
    </mc:Choice>
  </mc:AlternateContent>
  <xr:revisionPtr revIDLastSave="0" documentId="13_ncr:1_{3B77D70D-BEC9-5C41-9879-F1F8475A81CA}" xr6:coauthVersionLast="47" xr6:coauthVersionMax="47" xr10:uidLastSave="{00000000-0000-0000-0000-000000000000}"/>
  <bookViews>
    <workbookView xWindow="30320" yWindow="500" windowWidth="33060" windowHeight="21100" xr2:uid="{1ED4C432-199B-0641-8363-3DBE1500B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G3" i="1"/>
  <c r="G12" i="1"/>
  <c r="G26" i="1"/>
  <c r="K36" i="1" s="1"/>
  <c r="G25" i="1"/>
  <c r="G24" i="1"/>
  <c r="K34" i="1" s="1"/>
  <c r="G23" i="1"/>
  <c r="K33" i="1" s="1"/>
  <c r="G22" i="1"/>
  <c r="K32" i="1" s="1"/>
  <c r="G21" i="1"/>
  <c r="K5" i="1" s="1"/>
  <c r="G17" i="1"/>
  <c r="K27" i="1" s="1"/>
  <c r="G16" i="1"/>
  <c r="G15" i="1"/>
  <c r="K25" i="1" s="1"/>
  <c r="G14" i="1"/>
  <c r="K24" i="1" s="1"/>
  <c r="G13" i="1"/>
  <c r="K23" i="1" s="1"/>
  <c r="G6" i="1"/>
  <c r="K16" i="1" s="1"/>
  <c r="G4" i="1"/>
  <c r="G5" i="1"/>
  <c r="K15" i="1" s="1"/>
  <c r="G7" i="1"/>
  <c r="K17" i="1" s="1"/>
  <c r="G8" i="1"/>
  <c r="K18" i="1" s="1"/>
  <c r="B13" i="1"/>
  <c r="C13" i="1" s="1"/>
  <c r="C12" i="1"/>
  <c r="C3" i="1"/>
  <c r="B4" i="1"/>
  <c r="B5" i="1" s="1"/>
  <c r="B6" i="1" s="1"/>
  <c r="B7" i="1" s="1"/>
  <c r="B8" i="1" s="1"/>
  <c r="C8" i="1" s="1"/>
  <c r="H26" i="1" l="1"/>
  <c r="K35" i="1"/>
  <c r="H24" i="1"/>
  <c r="H23" i="1"/>
  <c r="H22" i="1"/>
  <c r="K31" i="1"/>
  <c r="H16" i="1"/>
  <c r="B14" i="1"/>
  <c r="C14" i="1" s="1"/>
  <c r="K26" i="1"/>
  <c r="H14" i="1"/>
  <c r="C5" i="1"/>
  <c r="C6" i="1"/>
  <c r="C7" i="1"/>
  <c r="C4" i="1"/>
  <c r="H7" i="1"/>
  <c r="H5" i="1"/>
  <c r="K14" i="1"/>
  <c r="H25" i="1"/>
  <c r="L5" i="1"/>
  <c r="H17" i="1"/>
  <c r="H13" i="1"/>
  <c r="K22" i="1"/>
  <c r="K13" i="1"/>
  <c r="H4" i="1"/>
  <c r="H15" i="1"/>
  <c r="H6" i="1"/>
  <c r="H8" i="1"/>
  <c r="B15" i="1" l="1"/>
  <c r="C15" i="1"/>
  <c r="B16" i="1"/>
  <c r="C16" i="1" l="1"/>
  <c r="B17" i="1"/>
  <c r="C17" i="1" l="1"/>
  <c r="K4" i="1" s="1"/>
  <c r="L4" i="1" s="1"/>
</calcChain>
</file>

<file path=xl/sharedStrings.xml><?xml version="1.0" encoding="utf-8"?>
<sst xmlns="http://schemas.openxmlformats.org/spreadsheetml/2006/main" count="45" uniqueCount="22">
  <si>
    <t>Dilution (ng of DNA)</t>
  </si>
  <si>
    <t>TRIM_A Primer</t>
  </si>
  <si>
    <t>STING_A Primer</t>
  </si>
  <si>
    <t>cGAS_F Primer</t>
  </si>
  <si>
    <t xml:space="preserve">Tech Rep 1 </t>
  </si>
  <si>
    <t>Tech Rep 2</t>
  </si>
  <si>
    <t>Tech Rep 3</t>
  </si>
  <si>
    <t>Average</t>
  </si>
  <si>
    <t>difference btw dil</t>
  </si>
  <si>
    <t>Log of each dil</t>
  </si>
  <si>
    <t>TRIM</t>
  </si>
  <si>
    <t>STING</t>
  </si>
  <si>
    <t>cGAS</t>
  </si>
  <si>
    <t>Eff (%)</t>
  </si>
  <si>
    <t>https://toptipbio.com/calculate-primer-efficiencies/</t>
  </si>
  <si>
    <t>log_dil</t>
  </si>
  <si>
    <t>avg_CT</t>
  </si>
  <si>
    <t>Trim</t>
  </si>
  <si>
    <t>Scatter plots (all together, all data points):</t>
  </si>
  <si>
    <t>Slope (log values vs avg ct-  slope func)</t>
  </si>
  <si>
    <t>Info on calcs and graphs --&gt;</t>
  </si>
  <si>
    <t>Individual Scatter plots: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</si>
</sst>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B5C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2" fontId="0" fillId="0" borderId="8" xfId="0" applyNumberFormat="1" applyBorder="1"/>
    <xf numFmtId="2" fontId="0" fillId="0" borderId="9" xfId="0" applyNumberFormat="1" applyBorder="1"/>
    <xf numFmtId="0" fontId="0" fillId="2" borderId="0" xfId="0" applyFill="1"/>
    <xf numFmtId="0" fontId="0" fillId="2" borderId="1" xfId="0" applyFill="1" applyBorder="1"/>
    <xf numFmtId="0" fontId="1" fillId="0" borderId="0" xfId="0" applyFont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Sheet1!$K$12</c:f>
              <c:strCache>
                <c:ptCount val="1"/>
                <c:pt idx="0">
                  <c:v>avg_CT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581467303992545E-3"/>
                  <c:y val="0.12086184681460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Sheet1!$J$13:$J$18</c:f>
              <c:numCache>
                <c:formatCode>General</c:formatCode>
                <c:ptCount val="6"/>
                <c:pt idx="0">
                  <c:v>2</c:v>
                </c:pt>
                <c:pt idx="1">
                  <c:v>1.3979400086720377</c:v>
                </c:pt>
                <c:pt idx="2">
                  <c:v>0.79588001734407521</c:v>
                </c:pt>
                <c:pt idx="3">
                  <c:v>0.19382002601611284</c:v>
                </c:pt>
                <c:pt idx="4">
                  <c:v>-0.40823996531184958</c:v>
                </c:pt>
                <c:pt idx="5">
                  <c:v>-1.0102999566398119</c:v>
                </c:pt>
              </c:numCache>
            </c:numRef>
          </c:xVal>
          <c:yVal>
            <c:numRef>
              <c:f>Sheet1!$K$13:$K$18</c:f>
              <c:numCache>
                <c:formatCode>General</c:formatCode>
                <c:ptCount val="6"/>
                <c:pt idx="0">
                  <c:v>20.747469312370836</c:v>
                </c:pt>
                <c:pt idx="1">
                  <c:v>22.70223033009643</c:v>
                </c:pt>
                <c:pt idx="2">
                  <c:v>24.662259563500033</c:v>
                </c:pt>
                <c:pt idx="3">
                  <c:v>26.771913345030466</c:v>
                </c:pt>
                <c:pt idx="4">
                  <c:v>28.699680712669732</c:v>
                </c:pt>
                <c:pt idx="5">
                  <c:v>30.820124743361266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E-844E-9BFB-86784A44F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57104"/>
        <c:axId val="973077744"/>
      </c:scatterChart>
      <c:valAx>
        <c:axId val="97275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77744"/>
        <c:crosses val="autoZero"/>
        <c:crossBetween val="midCat"/>
      </c:valAx>
      <c:valAx>
        <c:axId val="9730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5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avg_CT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96848410321504E-3"/>
                  <c:y val="0.115976631953263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Sheet1!$J$22:$J$27</c:f>
              <c:numCache>
                <c:formatCode>General</c:formatCode>
                <c:ptCount val="6"/>
                <c:pt idx="0">
                  <c:v>2</c:v>
                </c:pt>
                <c:pt idx="1">
                  <c:v>1.3979400086720377</c:v>
                </c:pt>
                <c:pt idx="2">
                  <c:v>0.79588001734407521</c:v>
                </c:pt>
                <c:pt idx="3">
                  <c:v>0.19382002601611284</c:v>
                </c:pt>
                <c:pt idx="4">
                  <c:v>-0.40823996531184958</c:v>
                </c:pt>
                <c:pt idx="5">
                  <c:v>-1.0102999566398119</c:v>
                </c:pt>
              </c:numCache>
            </c:numRef>
          </c:xVal>
          <c:yVal>
            <c:numRef>
              <c:f>Sheet1!$K$22:$K$27</c:f>
              <c:numCache>
                <c:formatCode>General</c:formatCode>
                <c:ptCount val="6"/>
                <c:pt idx="0">
                  <c:v>19.489130518054335</c:v>
                </c:pt>
                <c:pt idx="1">
                  <c:v>21.472610847974234</c:v>
                </c:pt>
                <c:pt idx="2">
                  <c:v>23.367307584863237</c:v>
                </c:pt>
                <c:pt idx="3">
                  <c:v>25.600679029067834</c:v>
                </c:pt>
                <c:pt idx="4">
                  <c:v>27.462782989270135</c:v>
                </c:pt>
                <c:pt idx="5">
                  <c:v>29.628219501083965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C-614E-A405-7C92EA540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70528"/>
        <c:axId val="206849584"/>
      </c:scatterChart>
      <c:valAx>
        <c:axId val="2067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49584"/>
        <c:crosses val="autoZero"/>
        <c:crossBetween val="midCat"/>
      </c:valAx>
      <c:valAx>
        <c:axId val="2068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7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Sheet1!$K$30</c:f>
              <c:strCache>
                <c:ptCount val="1"/>
                <c:pt idx="0">
                  <c:v>avg_CT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407663777544181E-3"/>
                  <c:y val="0.116346602508019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Sheet1!$J$31:$J$36</c:f>
              <c:numCache>
                <c:formatCode>General</c:formatCode>
                <c:ptCount val="6"/>
                <c:pt idx="0">
                  <c:v>2</c:v>
                </c:pt>
                <c:pt idx="1">
                  <c:v>1.3979400086720377</c:v>
                </c:pt>
                <c:pt idx="2">
                  <c:v>0.79588001734407521</c:v>
                </c:pt>
                <c:pt idx="3">
                  <c:v>0.19382002601611284</c:v>
                </c:pt>
                <c:pt idx="4">
                  <c:v>-0.40823996531184958</c:v>
                </c:pt>
                <c:pt idx="5">
                  <c:v>-1.0102999566398119</c:v>
                </c:pt>
              </c:numCache>
            </c:numRef>
          </c:xVal>
          <c:yVal>
            <c:numRef>
              <c:f>Sheet1!$K$31:$K$36</c:f>
              <c:numCache>
                <c:formatCode>General</c:formatCode>
                <c:ptCount val="6"/>
                <c:pt idx="0">
                  <c:v>19.920696841105467</c:v>
                </c:pt>
                <c:pt idx="1">
                  <c:v>21.868812188752866</c:v>
                </c:pt>
                <c:pt idx="2">
                  <c:v>25.686189805812802</c:v>
                </c:pt>
                <c:pt idx="3">
                  <c:v>25.783620213453869</c:v>
                </c:pt>
                <c:pt idx="4">
                  <c:v>27.711587853727533</c:v>
                </c:pt>
                <c:pt idx="5">
                  <c:v>29.662428711950003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6-734D-BA10-39C56DF83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06304"/>
        <c:axId val="206808304"/>
      </c:scatterChart>
      <c:valAx>
        <c:axId val="20680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08304"/>
        <c:crosses val="autoZero"/>
        <c:crossBetween val="midCat"/>
      </c:valAx>
      <c:valAx>
        <c:axId val="20680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0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Data Points</a:t>
            </a:r>
            <a:r>
              <a:rPr lang="en-US" baseline="0"/>
              <a:t> for the Three Primers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Trim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475734593410068E-2"/>
                  <c:y val="-0.1017394416607015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chemeClr val="accent1"/>
                        </a:solidFill>
                      </a:rPr>
                      <a:t>y = -3.344x + 27.389</a:t>
                    </a:r>
                    <a:br>
                      <a:rPr lang="en-US" sz="1400" b="1" baseline="0">
                        <a:solidFill>
                          <a:schemeClr val="accent1"/>
                        </a:solidFill>
                      </a:rPr>
                    </a:br>
                    <a:r>
                      <a:rPr lang="en-US" sz="1400" b="1" baseline="0">
                        <a:solidFill>
                          <a:schemeClr val="accent1"/>
                        </a:solidFill>
                      </a:rPr>
                      <a:t>R² = 0.996</a:t>
                    </a:r>
                    <a:endParaRPr lang="en-US" sz="1400" b="1">
                      <a:solidFill>
                        <a:schemeClr val="accent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Sheet1!$B$32:$B$49</c:f>
              <c:numCache>
                <c:formatCode>General</c:formatCode>
                <c:ptCount val="18"/>
                <c:pt idx="0">
                  <c:v>2</c:v>
                </c:pt>
                <c:pt idx="1">
                  <c:v>1.3979400086720377</c:v>
                </c:pt>
                <c:pt idx="2">
                  <c:v>0.79588001734407521</c:v>
                </c:pt>
                <c:pt idx="3">
                  <c:v>0.19382002601611284</c:v>
                </c:pt>
                <c:pt idx="4">
                  <c:v>-0.40823996531184958</c:v>
                </c:pt>
                <c:pt idx="5">
                  <c:v>-1.0102999566398119</c:v>
                </c:pt>
                <c:pt idx="6">
                  <c:v>2</c:v>
                </c:pt>
                <c:pt idx="7">
                  <c:v>1.3979400086720377</c:v>
                </c:pt>
                <c:pt idx="8">
                  <c:v>0.79588001734407521</c:v>
                </c:pt>
                <c:pt idx="9">
                  <c:v>0.19382002601611284</c:v>
                </c:pt>
                <c:pt idx="10">
                  <c:v>-0.40823996531184958</c:v>
                </c:pt>
                <c:pt idx="11">
                  <c:v>-1.0102999566398119</c:v>
                </c:pt>
                <c:pt idx="12">
                  <c:v>2</c:v>
                </c:pt>
                <c:pt idx="13">
                  <c:v>1.3979400086720377</c:v>
                </c:pt>
                <c:pt idx="14">
                  <c:v>0.79588001734407521</c:v>
                </c:pt>
                <c:pt idx="15">
                  <c:v>0.19382002601611284</c:v>
                </c:pt>
                <c:pt idx="16">
                  <c:v>-0.40823996531184958</c:v>
                </c:pt>
                <c:pt idx="17">
                  <c:v>-1.0102999566398119</c:v>
                </c:pt>
              </c:numCache>
            </c:numRef>
          </c:xVal>
          <c:yVal>
            <c:numRef>
              <c:f>Sheet1!$C$32:$C$49</c:f>
              <c:numCache>
                <c:formatCode>General</c:formatCode>
                <c:ptCount val="18"/>
                <c:pt idx="0">
                  <c:v>20.8691810422063</c:v>
                </c:pt>
                <c:pt idx="1">
                  <c:v>22.818759407722901</c:v>
                </c:pt>
                <c:pt idx="2">
                  <c:v>24.5672818110355</c:v>
                </c:pt>
                <c:pt idx="3">
                  <c:v>26.637469536611299</c:v>
                </c:pt>
                <c:pt idx="4">
                  <c:v>28.575880738008699</c:v>
                </c:pt>
                <c:pt idx="5">
                  <c:v>31.498446152119499</c:v>
                </c:pt>
                <c:pt idx="6">
                  <c:v>20.703226894906201</c:v>
                </c:pt>
                <c:pt idx="7">
                  <c:v>22.643074016565802</c:v>
                </c:pt>
                <c:pt idx="8">
                  <c:v>24.718118985788799</c:v>
                </c:pt>
                <c:pt idx="9">
                  <c:v>26.833788955054001</c:v>
                </c:pt>
                <c:pt idx="10">
                  <c:v>28.724701384389299</c:v>
                </c:pt>
                <c:pt idx="11">
                  <c:v>30.431830074343001</c:v>
                </c:pt>
                <c:pt idx="12">
                  <c:v>20.67</c:v>
                </c:pt>
                <c:pt idx="13">
                  <c:v>22.644857566000599</c:v>
                </c:pt>
                <c:pt idx="14">
                  <c:v>24.701377893675801</c:v>
                </c:pt>
                <c:pt idx="15">
                  <c:v>26.844481543426099</c:v>
                </c:pt>
                <c:pt idx="16">
                  <c:v>28.798460015611202</c:v>
                </c:pt>
                <c:pt idx="17">
                  <c:v>30.530098003621301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36-4E46-A222-5791212A05F8}"/>
            </c:ext>
          </c:extLst>
        </c:ser>
        <c:ser>
          <c:idx val="1"/>
          <c:order val="1"/>
          <c:tx>
            <c:strRef>
              <c:f>Sheet1!$D$31</c:f>
              <c:strCache>
                <c:ptCount val="1"/>
                <c:pt idx="0">
                  <c:v>STING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74349065262631E-2"/>
                  <c:y val="0.1147270389902560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chemeClr val="accent2"/>
                        </a:solidFill>
                      </a:rPr>
                      <a:t>y = -3.3646x + 26.168</a:t>
                    </a:r>
                    <a:br>
                      <a:rPr lang="en-US" sz="1400" b="1" baseline="0">
                        <a:solidFill>
                          <a:schemeClr val="accent2"/>
                        </a:solidFill>
                      </a:rPr>
                    </a:br>
                    <a:r>
                      <a:rPr lang="en-US" sz="1400" b="1" baseline="0">
                        <a:solidFill>
                          <a:schemeClr val="accent2"/>
                        </a:solidFill>
                      </a:rPr>
                      <a:t>R² = 0.9991</a:t>
                    </a:r>
                    <a:endParaRPr lang="en-US" sz="1400" b="1">
                      <a:solidFill>
                        <a:schemeClr val="accent2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Sheet1!$B$32:$B$49</c:f>
              <c:numCache>
                <c:formatCode>General</c:formatCode>
                <c:ptCount val="18"/>
                <c:pt idx="0">
                  <c:v>2</c:v>
                </c:pt>
                <c:pt idx="1">
                  <c:v>1.3979400086720377</c:v>
                </c:pt>
                <c:pt idx="2">
                  <c:v>0.79588001734407521</c:v>
                </c:pt>
                <c:pt idx="3">
                  <c:v>0.19382002601611284</c:v>
                </c:pt>
                <c:pt idx="4">
                  <c:v>-0.40823996531184958</c:v>
                </c:pt>
                <c:pt idx="5">
                  <c:v>-1.0102999566398119</c:v>
                </c:pt>
                <c:pt idx="6">
                  <c:v>2</c:v>
                </c:pt>
                <c:pt idx="7">
                  <c:v>1.3979400086720377</c:v>
                </c:pt>
                <c:pt idx="8">
                  <c:v>0.79588001734407521</c:v>
                </c:pt>
                <c:pt idx="9">
                  <c:v>0.19382002601611284</c:v>
                </c:pt>
                <c:pt idx="10">
                  <c:v>-0.40823996531184958</c:v>
                </c:pt>
                <c:pt idx="11">
                  <c:v>-1.0102999566398119</c:v>
                </c:pt>
                <c:pt idx="12">
                  <c:v>2</c:v>
                </c:pt>
                <c:pt idx="13">
                  <c:v>1.3979400086720377</c:v>
                </c:pt>
                <c:pt idx="14">
                  <c:v>0.79588001734407521</c:v>
                </c:pt>
                <c:pt idx="15">
                  <c:v>0.19382002601611284</c:v>
                </c:pt>
                <c:pt idx="16">
                  <c:v>-0.40823996531184958</c:v>
                </c:pt>
                <c:pt idx="17">
                  <c:v>-1.0102999566398119</c:v>
                </c:pt>
              </c:numCache>
            </c:numRef>
          </c:xVal>
          <c:yVal>
            <c:numRef>
              <c:f>Sheet1!$D$32:$D$49</c:f>
              <c:numCache>
                <c:formatCode>General</c:formatCode>
                <c:ptCount val="18"/>
                <c:pt idx="0">
                  <c:v>19.574304594818699</c:v>
                </c:pt>
                <c:pt idx="1">
                  <c:v>21.558890547880701</c:v>
                </c:pt>
                <c:pt idx="2">
                  <c:v>23.3599997959981</c:v>
                </c:pt>
                <c:pt idx="3">
                  <c:v>25.5002601452688</c:v>
                </c:pt>
                <c:pt idx="4">
                  <c:v>27.420496212558501</c:v>
                </c:pt>
                <c:pt idx="5">
                  <c:v>29.674205598765901</c:v>
                </c:pt>
                <c:pt idx="6">
                  <c:v>19.464890845582101</c:v>
                </c:pt>
                <c:pt idx="7">
                  <c:v>21.391512872868802</c:v>
                </c:pt>
                <c:pt idx="8">
                  <c:v>23.322783770440601</c:v>
                </c:pt>
                <c:pt idx="9">
                  <c:v>25.709561624562699</c:v>
                </c:pt>
                <c:pt idx="10">
                  <c:v>27.372806586444302</c:v>
                </c:pt>
                <c:pt idx="11">
                  <c:v>29.632888371947399</c:v>
                </c:pt>
                <c:pt idx="12">
                  <c:v>19.428196113762201</c:v>
                </c:pt>
                <c:pt idx="13">
                  <c:v>21.467429123173201</c:v>
                </c:pt>
                <c:pt idx="14">
                  <c:v>23.419139188151</c:v>
                </c:pt>
                <c:pt idx="15">
                  <c:v>25.592215317371998</c:v>
                </c:pt>
                <c:pt idx="16">
                  <c:v>27.595046168807599</c:v>
                </c:pt>
                <c:pt idx="17">
                  <c:v>29.577564532538599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36-4E46-A222-5791212A05F8}"/>
            </c:ext>
          </c:extLst>
        </c:ser>
        <c:ser>
          <c:idx val="2"/>
          <c:order val="2"/>
          <c:tx>
            <c:strRef>
              <c:f>Sheet1!$E$31</c:f>
              <c:strCache>
                <c:ptCount val="1"/>
                <c:pt idx="0">
                  <c:v>cGAS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181431727057543"/>
                  <c:y val="9.6338071377441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Sheet1!$B$32:$B$49</c:f>
              <c:numCache>
                <c:formatCode>General</c:formatCode>
                <c:ptCount val="18"/>
                <c:pt idx="0">
                  <c:v>2</c:v>
                </c:pt>
                <c:pt idx="1">
                  <c:v>1.3979400086720377</c:v>
                </c:pt>
                <c:pt idx="2">
                  <c:v>0.79588001734407521</c:v>
                </c:pt>
                <c:pt idx="3">
                  <c:v>0.19382002601611284</c:v>
                </c:pt>
                <c:pt idx="4">
                  <c:v>-0.40823996531184958</c:v>
                </c:pt>
                <c:pt idx="5">
                  <c:v>-1.0102999566398119</c:v>
                </c:pt>
                <c:pt idx="6">
                  <c:v>2</c:v>
                </c:pt>
                <c:pt idx="7">
                  <c:v>1.3979400086720377</c:v>
                </c:pt>
                <c:pt idx="8">
                  <c:v>0.79588001734407521</c:v>
                </c:pt>
                <c:pt idx="9">
                  <c:v>0.19382002601611284</c:v>
                </c:pt>
                <c:pt idx="10">
                  <c:v>-0.40823996531184958</c:v>
                </c:pt>
                <c:pt idx="11">
                  <c:v>-1.0102999566398119</c:v>
                </c:pt>
                <c:pt idx="12">
                  <c:v>2</c:v>
                </c:pt>
                <c:pt idx="13">
                  <c:v>1.3979400086720377</c:v>
                </c:pt>
                <c:pt idx="14">
                  <c:v>0.79588001734407521</c:v>
                </c:pt>
                <c:pt idx="15">
                  <c:v>0.19382002601611284</c:v>
                </c:pt>
                <c:pt idx="16">
                  <c:v>-0.40823996531184958</c:v>
                </c:pt>
                <c:pt idx="17">
                  <c:v>-1.0102999566398119</c:v>
                </c:pt>
              </c:numCache>
            </c:numRef>
          </c:xVal>
          <c:yVal>
            <c:numRef>
              <c:f>Sheet1!$E$32:$E$49</c:f>
              <c:numCache>
                <c:formatCode>General</c:formatCode>
                <c:ptCount val="18"/>
                <c:pt idx="0">
                  <c:v>19.8103886113608</c:v>
                </c:pt>
                <c:pt idx="1">
                  <c:v>21.894846056706498</c:v>
                </c:pt>
                <c:pt idx="2">
                  <c:v>23.885091907046501</c:v>
                </c:pt>
                <c:pt idx="3">
                  <c:v>25.867062669112201</c:v>
                </c:pt>
                <c:pt idx="4">
                  <c:v>27.738444562444901</c:v>
                </c:pt>
                <c:pt idx="5">
                  <c:v>29.535011305664302</c:v>
                </c:pt>
                <c:pt idx="6">
                  <c:v>19.933702806850398</c:v>
                </c:pt>
                <c:pt idx="7">
                  <c:v>21.829501531007999</c:v>
                </c:pt>
                <c:pt idx="8">
                  <c:v>23.765399945870001</c:v>
                </c:pt>
                <c:pt idx="9">
                  <c:v>25.809652726326899</c:v>
                </c:pt>
                <c:pt idx="10">
                  <c:v>27.6116243240009</c:v>
                </c:pt>
                <c:pt idx="11">
                  <c:v>29.319594254954801</c:v>
                </c:pt>
                <c:pt idx="12">
                  <c:v>20.017999105105201</c:v>
                </c:pt>
                <c:pt idx="13">
                  <c:v>21.8820889785441</c:v>
                </c:pt>
                <c:pt idx="14">
                  <c:v>29.4080775645219</c:v>
                </c:pt>
                <c:pt idx="15">
                  <c:v>25.674145244922499</c:v>
                </c:pt>
                <c:pt idx="16">
                  <c:v>27.784694674736802</c:v>
                </c:pt>
                <c:pt idx="17">
                  <c:v>30.1326805752309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36-4E46-A222-5791212A0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66992"/>
        <c:axId val="207169264"/>
      </c:scatterChart>
      <c:valAx>
        <c:axId val="2071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9264"/>
        <c:crosses val="autoZero"/>
        <c:crossBetween val="midCat"/>
      </c:valAx>
      <c:valAx>
        <c:axId val="20716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6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450850</xdr:colOff>
      <xdr:row>7</xdr:row>
      <xdr:rowOff>139700</xdr:rowOff>
    </xdr:from>
    <xdr:to>
      <xdr:col>14</xdr:col>
      <xdr:colOff>2984500</xdr:colOff>
      <xdr:row>21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2B8722-FC04-438B-72E7-C1119952E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22</xdr:row>
      <xdr:rowOff>0</xdr:rowOff>
    </xdr:from>
    <xdr:to>
      <xdr:col>14</xdr:col>
      <xdr:colOff>2984500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23FC31-80AD-2DD7-A5AF-555C97D8E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469900</xdr:colOff>
      <xdr:row>36</xdr:row>
      <xdr:rowOff>127000</xdr:rowOff>
    </xdr:from>
    <xdr:to>
      <xdr:col>14</xdr:col>
      <xdr:colOff>3035300</xdr:colOff>
      <xdr:row>50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2DA29A-62EC-229E-F245-4A1E5E22A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450850</xdr:colOff>
      <xdr:row>51</xdr:row>
      <xdr:rowOff>177800</xdr:rowOff>
    </xdr:from>
    <xdr:to>
      <xdr:col>14</xdr:col>
      <xdr:colOff>2933700</xdr:colOff>
      <xdr:row>88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90C744-8EC0-3BC6-0599-DE71B0E58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41BB-FA6E-AF4E-B544-4F3848B5471C}">
  <dimension ref="B1:O49"/>
  <sheetViews>
    <sheetView tabSelected="1" workbookViewId="0">
      <selection activeCell="F23" sqref="F23"/>
    </sheetView>
  </sheetViews>
  <sheetFormatPr baseColWidth="10" defaultRowHeight="16" x14ac:dyDescent="0.2"/>
  <cols>
    <col min="2" max="2" width="17.83203125" bestFit="1" customWidth="1"/>
    <col min="3" max="3" width="13" bestFit="1" customWidth="1"/>
    <col min="8" max="8" width="15.6640625" bestFit="1" customWidth="1"/>
    <col min="11" max="11" width="23" customWidth="1"/>
    <col min="12" max="12" width="17" customWidth="1"/>
    <col min="13" max="13" width="15.33203125" bestFit="1" customWidth="1"/>
    <col min="14" max="14" width="24" bestFit="1" customWidth="1"/>
    <col min="15" max="15" width="45" bestFit="1" customWidth="1"/>
  </cols>
  <sheetData>
    <row r="1" spans="2:15" ht="17" thickBot="1" x14ac:dyDescent="0.25">
      <c r="B1" s="21" t="s">
        <v>1</v>
      </c>
      <c r="N1" s="19" t="s">
        <v>20</v>
      </c>
      <c r="O1" s="20" t="s">
        <v>14</v>
      </c>
    </row>
    <row r="2" spans="2:15" x14ac:dyDescent="0.2">
      <c r="B2" s="5" t="s">
        <v>0</v>
      </c>
      <c r="C2" s="7" t="s">
        <v>9</v>
      </c>
      <c r="D2" s="7" t="s">
        <v>4</v>
      </c>
      <c r="E2" s="6" t="s">
        <v>5</v>
      </c>
      <c r="F2" s="6" t="s">
        <v>6</v>
      </c>
      <c r="G2" s="7" t="s">
        <v>7</v>
      </c>
      <c r="H2" s="12" t="s">
        <v>8</v>
      </c>
      <c r="J2" s="5"/>
      <c r="K2" s="7" t="s">
        <v>19</v>
      </c>
      <c r="L2" s="12" t="s">
        <v>13</v>
      </c>
    </row>
    <row r="3" spans="2:15" x14ac:dyDescent="0.2">
      <c r="B3" s="1">
        <v>100</v>
      </c>
      <c r="C3" s="8">
        <f>LOG10(B3)</f>
        <v>2</v>
      </c>
      <c r="D3" s="10">
        <v>20.8691810422063</v>
      </c>
      <c r="E3" s="2">
        <v>20.703226894906201</v>
      </c>
      <c r="F3" s="2">
        <v>20.67</v>
      </c>
      <c r="G3" s="10">
        <f>AVERAGE(D3:F3)</f>
        <v>20.747469312370836</v>
      </c>
      <c r="H3" s="13"/>
      <c r="J3" s="1" t="s">
        <v>10</v>
      </c>
      <c r="K3" s="17">
        <f>SLOPE(G3:G8,C3:C8)</f>
        <v>-3.3440085752810762</v>
      </c>
      <c r="L3" s="15">
        <f>(10^(-1/K3)-1)*100</f>
        <v>99.086721737143748</v>
      </c>
    </row>
    <row r="4" spans="2:15" x14ac:dyDescent="0.2">
      <c r="B4" s="1">
        <f>B3/4</f>
        <v>25</v>
      </c>
      <c r="C4" s="8">
        <f t="shared" ref="C4:C8" si="0">LOG10(B4)</f>
        <v>1.3979400086720377</v>
      </c>
      <c r="D4" s="10">
        <v>22.818759407722901</v>
      </c>
      <c r="E4" s="2">
        <v>22.643074016565802</v>
      </c>
      <c r="F4" s="2">
        <v>22.644857566000599</v>
      </c>
      <c r="G4" s="10">
        <f>AVERAGE(D4:F4)</f>
        <v>22.70223033009643</v>
      </c>
      <c r="H4" s="13">
        <f>G4-G3</f>
        <v>1.9547610177255947</v>
      </c>
      <c r="J4" s="1" t="s">
        <v>11</v>
      </c>
      <c r="K4" s="17">
        <f>SLOPE(G12:G17,C12:C17)</f>
        <v>-3.3646069354487866</v>
      </c>
      <c r="L4" s="15">
        <f>(10^(-1/K4)-1)*100</f>
        <v>98.249242871750567</v>
      </c>
    </row>
    <row r="5" spans="2:15" ht="17" thickBot="1" x14ac:dyDescent="0.25">
      <c r="B5" s="1">
        <f t="shared" ref="B5:B8" si="1">B4/4</f>
        <v>6.25</v>
      </c>
      <c r="C5" s="8">
        <f t="shared" si="0"/>
        <v>0.79588001734407521</v>
      </c>
      <c r="D5" s="10">
        <v>24.5672818110355</v>
      </c>
      <c r="E5" s="2">
        <v>24.718118985788799</v>
      </c>
      <c r="F5" s="2">
        <v>24.701377893675801</v>
      </c>
      <c r="G5" s="10">
        <f t="shared" ref="G5:G8" si="2">AVERAGE(D5:F5)</f>
        <v>24.662259563500033</v>
      </c>
      <c r="H5" s="13">
        <f>G5-G4</f>
        <v>1.9600292334036027</v>
      </c>
      <c r="J5" s="3" t="s">
        <v>12</v>
      </c>
      <c r="K5" s="18">
        <f>SLOPE(G21:G26,C21:C26)</f>
        <v>-3.1479737013510847</v>
      </c>
      <c r="L5" s="16">
        <f>(10^(-1/K5)-1)*100</f>
        <v>107.80914782344975</v>
      </c>
    </row>
    <row r="6" spans="2:15" x14ac:dyDescent="0.2">
      <c r="B6" s="1">
        <f t="shared" si="1"/>
        <v>1.5625</v>
      </c>
      <c r="C6" s="8">
        <f t="shared" si="0"/>
        <v>0.19382002601611284</v>
      </c>
      <c r="D6" s="10">
        <v>26.637469536611299</v>
      </c>
      <c r="E6" s="2">
        <v>26.833788955054001</v>
      </c>
      <c r="F6" s="2">
        <v>26.844481543426099</v>
      </c>
      <c r="G6" s="10">
        <f>AVERAGE(D6:F6)</f>
        <v>26.771913345030466</v>
      </c>
      <c r="H6" s="13">
        <f>G6-G5</f>
        <v>2.109653781530433</v>
      </c>
    </row>
    <row r="7" spans="2:15" x14ac:dyDescent="0.2">
      <c r="B7" s="1">
        <f t="shared" si="1"/>
        <v>0.390625</v>
      </c>
      <c r="C7" s="8">
        <f t="shared" si="0"/>
        <v>-0.40823996531184958</v>
      </c>
      <c r="D7" s="10">
        <v>28.575880738008699</v>
      </c>
      <c r="E7" s="2">
        <v>28.724701384389299</v>
      </c>
      <c r="F7" s="2">
        <v>28.798460015611202</v>
      </c>
      <c r="G7" s="10">
        <f t="shared" si="2"/>
        <v>28.699680712669732</v>
      </c>
      <c r="H7" s="13">
        <f>G7-G6</f>
        <v>1.9277673676392659</v>
      </c>
    </row>
    <row r="8" spans="2:15" ht="17" thickBot="1" x14ac:dyDescent="0.25">
      <c r="B8" s="3">
        <f t="shared" si="1"/>
        <v>9.765625E-2</v>
      </c>
      <c r="C8" s="9">
        <f t="shared" si="0"/>
        <v>-1.0102999566398119</v>
      </c>
      <c r="D8" s="11">
        <v>31.498446152119499</v>
      </c>
      <c r="E8" s="4">
        <v>30.431830074343001</v>
      </c>
      <c r="F8" s="4">
        <v>30.530098003621301</v>
      </c>
      <c r="G8" s="11">
        <f t="shared" si="2"/>
        <v>30.820124743361266</v>
      </c>
      <c r="H8" s="14">
        <f>G8-G7</f>
        <v>2.1204440306915338</v>
      </c>
    </row>
    <row r="9" spans="2:15" x14ac:dyDescent="0.2">
      <c r="J9" s="21" t="s">
        <v>21</v>
      </c>
    </row>
    <row r="10" spans="2:15" ht="17" thickBot="1" x14ac:dyDescent="0.25">
      <c r="B10" s="21" t="s">
        <v>2</v>
      </c>
    </row>
    <row r="11" spans="2:15" x14ac:dyDescent="0.2">
      <c r="B11" s="5" t="s">
        <v>0</v>
      </c>
      <c r="C11" s="7" t="s">
        <v>9</v>
      </c>
      <c r="D11" s="7" t="s">
        <v>4</v>
      </c>
      <c r="E11" s="6" t="s">
        <v>5</v>
      </c>
      <c r="F11" s="6" t="s">
        <v>6</v>
      </c>
      <c r="G11" s="7" t="s">
        <v>7</v>
      </c>
      <c r="H11" s="12" t="s">
        <v>8</v>
      </c>
      <c r="J11" s="21" t="s">
        <v>1</v>
      </c>
    </row>
    <row r="12" spans="2:15" x14ac:dyDescent="0.2">
      <c r="B12" s="1">
        <v>100</v>
      </c>
      <c r="C12" s="8">
        <f>LOG10(B12)</f>
        <v>2</v>
      </c>
      <c r="D12" s="10">
        <v>19.574304594818699</v>
      </c>
      <c r="E12" s="2">
        <v>19.464890845582101</v>
      </c>
      <c r="F12" s="2">
        <v>19.428196113762201</v>
      </c>
      <c r="G12" s="10">
        <f t="shared" ref="G12:G17" si="3">AVERAGE(D12:F12)</f>
        <v>19.489130518054335</v>
      </c>
      <c r="H12" s="13"/>
      <c r="J12" s="22" t="s">
        <v>15</v>
      </c>
      <c r="K12" s="23" t="s">
        <v>16</v>
      </c>
    </row>
    <row r="13" spans="2:15" x14ac:dyDescent="0.2">
      <c r="B13" s="1">
        <f>B12/4</f>
        <v>25</v>
      </c>
      <c r="C13" s="8">
        <f t="shared" ref="C13:C17" si="4">LOG10(B13)</f>
        <v>1.3979400086720377</v>
      </c>
      <c r="D13" s="10">
        <v>21.558890547880701</v>
      </c>
      <c r="E13" s="2">
        <v>21.391512872868802</v>
      </c>
      <c r="F13" s="2">
        <v>21.467429123173201</v>
      </c>
      <c r="G13" s="10">
        <f t="shared" si="3"/>
        <v>21.472610847974234</v>
      </c>
      <c r="H13" s="13">
        <f>G13-G12</f>
        <v>1.9834803299198995</v>
      </c>
      <c r="J13">
        <v>2</v>
      </c>
      <c r="K13" s="8">
        <f>G3</f>
        <v>20.747469312370836</v>
      </c>
    </row>
    <row r="14" spans="2:15" x14ac:dyDescent="0.2">
      <c r="B14" s="1">
        <f t="shared" ref="B14:B16" si="5">B13/4</f>
        <v>6.25</v>
      </c>
      <c r="C14" s="8">
        <f t="shared" si="4"/>
        <v>0.79588001734407521</v>
      </c>
      <c r="D14" s="10">
        <v>23.3599997959981</v>
      </c>
      <c r="E14" s="2">
        <v>23.322783770440601</v>
      </c>
      <c r="F14" s="2">
        <v>23.419139188151</v>
      </c>
      <c r="G14" s="10">
        <f t="shared" si="3"/>
        <v>23.367307584863237</v>
      </c>
      <c r="H14" s="13">
        <f>G14-G13</f>
        <v>1.8946967368890029</v>
      </c>
      <c r="J14">
        <v>1.3979400086720377</v>
      </c>
      <c r="K14" s="8">
        <f t="shared" ref="K14:K18" si="6">G4</f>
        <v>22.70223033009643</v>
      </c>
    </row>
    <row r="15" spans="2:15" x14ac:dyDescent="0.2">
      <c r="B15" s="1">
        <f t="shared" si="5"/>
        <v>1.5625</v>
      </c>
      <c r="C15" s="8">
        <f t="shared" si="4"/>
        <v>0.19382002601611284</v>
      </c>
      <c r="D15" s="10">
        <v>25.5002601452688</v>
      </c>
      <c r="E15" s="2">
        <v>25.709561624562699</v>
      </c>
      <c r="F15" s="2">
        <v>25.592215317371998</v>
      </c>
      <c r="G15" s="10">
        <f t="shared" si="3"/>
        <v>25.600679029067834</v>
      </c>
      <c r="H15" s="13">
        <f>G15-G14</f>
        <v>2.2333714442045967</v>
      </c>
      <c r="J15">
        <v>0.79588001734407521</v>
      </c>
      <c r="K15" s="8">
        <f t="shared" si="6"/>
        <v>24.662259563500033</v>
      </c>
    </row>
    <row r="16" spans="2:15" x14ac:dyDescent="0.2">
      <c r="B16" s="1">
        <f t="shared" si="5"/>
        <v>0.390625</v>
      </c>
      <c r="C16" s="8">
        <f>LOG10(B16)</f>
        <v>-0.40823996531184958</v>
      </c>
      <c r="D16" s="10">
        <v>27.420496212558501</v>
      </c>
      <c r="E16" s="2">
        <v>27.372806586444302</v>
      </c>
      <c r="F16" s="2">
        <v>27.595046168807599</v>
      </c>
      <c r="G16" s="10">
        <f t="shared" si="3"/>
        <v>27.462782989270135</v>
      </c>
      <c r="H16" s="13">
        <f>G16-G15</f>
        <v>1.8621039602023011</v>
      </c>
      <c r="J16">
        <v>0.19382002601611284</v>
      </c>
      <c r="K16" s="8">
        <f t="shared" si="6"/>
        <v>26.771913345030466</v>
      </c>
    </row>
    <row r="17" spans="2:11" ht="17" thickBot="1" x14ac:dyDescent="0.25">
      <c r="B17" s="3">
        <f>B16/4</f>
        <v>9.765625E-2</v>
      </c>
      <c r="C17" s="9">
        <f t="shared" si="4"/>
        <v>-1.0102999566398119</v>
      </c>
      <c r="D17" s="11">
        <v>29.674205598765901</v>
      </c>
      <c r="E17" s="4">
        <v>29.632888371947399</v>
      </c>
      <c r="F17" s="4">
        <v>29.577564532538599</v>
      </c>
      <c r="G17" s="11">
        <f t="shared" si="3"/>
        <v>29.628219501083965</v>
      </c>
      <c r="H17" s="14">
        <f>G17-G16</f>
        <v>2.1654365118138301</v>
      </c>
      <c r="J17">
        <v>-0.40823996531184958</v>
      </c>
      <c r="K17" s="8">
        <f t="shared" si="6"/>
        <v>28.699680712669732</v>
      </c>
    </row>
    <row r="18" spans="2:11" x14ac:dyDescent="0.2">
      <c r="J18">
        <v>-1.0102999566398119</v>
      </c>
      <c r="K18" s="8">
        <f t="shared" si="6"/>
        <v>30.820124743361266</v>
      </c>
    </row>
    <row r="19" spans="2:11" ht="17" thickBot="1" x14ac:dyDescent="0.25">
      <c r="B19" s="21" t="s">
        <v>3</v>
      </c>
    </row>
    <row r="20" spans="2:11" x14ac:dyDescent="0.2">
      <c r="B20" s="5" t="s">
        <v>0</v>
      </c>
      <c r="C20" s="7" t="s">
        <v>9</v>
      </c>
      <c r="D20" s="7" t="s">
        <v>4</v>
      </c>
      <c r="E20" s="6" t="s">
        <v>5</v>
      </c>
      <c r="F20" s="6" t="s">
        <v>6</v>
      </c>
      <c r="G20" s="7" t="s">
        <v>7</v>
      </c>
      <c r="H20" s="12" t="s">
        <v>8</v>
      </c>
      <c r="J20" s="21" t="s">
        <v>2</v>
      </c>
    </row>
    <row r="21" spans="2:11" x14ac:dyDescent="0.2">
      <c r="B21" s="1">
        <v>100</v>
      </c>
      <c r="C21" s="8">
        <v>2</v>
      </c>
      <c r="D21" s="10">
        <v>19.8103886113608</v>
      </c>
      <c r="E21" s="2">
        <v>19.933702806850398</v>
      </c>
      <c r="F21" s="2">
        <v>20.017999105105201</v>
      </c>
      <c r="G21" s="10">
        <f t="shared" ref="G21:G26" si="7">AVERAGE(D21:F21)</f>
        <v>19.920696841105467</v>
      </c>
      <c r="H21" s="13"/>
      <c r="J21" s="22" t="s">
        <v>15</v>
      </c>
      <c r="K21" s="23" t="s">
        <v>16</v>
      </c>
    </row>
    <row r="22" spans="2:11" x14ac:dyDescent="0.2">
      <c r="B22" s="1">
        <v>25</v>
      </c>
      <c r="C22" s="8">
        <v>1.3979400099999999</v>
      </c>
      <c r="D22" s="10">
        <v>21.894846056706498</v>
      </c>
      <c r="E22" s="2">
        <v>21.829501531007999</v>
      </c>
      <c r="F22" s="2">
        <v>21.8820889785441</v>
      </c>
      <c r="G22" s="10">
        <f t="shared" si="7"/>
        <v>21.868812188752866</v>
      </c>
      <c r="H22" s="13">
        <f>G22-G21</f>
        <v>1.9481153476473985</v>
      </c>
      <c r="J22">
        <v>2</v>
      </c>
      <c r="K22" s="8">
        <f>G12</f>
        <v>19.489130518054335</v>
      </c>
    </row>
    <row r="23" spans="2:11" x14ac:dyDescent="0.2">
      <c r="B23" s="1">
        <v>6.25</v>
      </c>
      <c r="C23" s="8">
        <v>0.79588002000000002</v>
      </c>
      <c r="D23" s="10">
        <v>23.885091907046501</v>
      </c>
      <c r="E23" s="2">
        <v>23.765399945870001</v>
      </c>
      <c r="F23" s="2">
        <v>29.4080775645219</v>
      </c>
      <c r="G23" s="10">
        <f t="shared" si="7"/>
        <v>25.686189805812802</v>
      </c>
      <c r="H23" s="13">
        <f>G23-G22</f>
        <v>3.8173776170599361</v>
      </c>
      <c r="J23">
        <v>1.3979400086720377</v>
      </c>
      <c r="K23" s="8">
        <f t="shared" ref="K23:K27" si="8">G13</f>
        <v>21.472610847974234</v>
      </c>
    </row>
    <row r="24" spans="2:11" x14ac:dyDescent="0.2">
      <c r="B24" s="1">
        <v>1.5625</v>
      </c>
      <c r="C24" s="8">
        <v>0.19382003</v>
      </c>
      <c r="D24" s="10">
        <v>25.867062669112201</v>
      </c>
      <c r="E24" s="2">
        <v>25.809652726326899</v>
      </c>
      <c r="F24" s="2">
        <v>25.674145244922499</v>
      </c>
      <c r="G24" s="10">
        <f t="shared" si="7"/>
        <v>25.783620213453869</v>
      </c>
      <c r="H24" s="13">
        <f>G24-G23</f>
        <v>9.7430407641066807E-2</v>
      </c>
      <c r="J24">
        <v>0.79588001734407521</v>
      </c>
      <c r="K24" s="8">
        <f t="shared" si="8"/>
        <v>23.367307584863237</v>
      </c>
    </row>
    <row r="25" spans="2:11" x14ac:dyDescent="0.2">
      <c r="B25" s="1">
        <v>0.390625</v>
      </c>
      <c r="C25" s="8">
        <v>-0.40823999999999999</v>
      </c>
      <c r="D25" s="10">
        <v>27.738444562444901</v>
      </c>
      <c r="E25" s="2">
        <v>27.6116243240009</v>
      </c>
      <c r="F25" s="2">
        <v>27.784694674736802</v>
      </c>
      <c r="G25" s="10">
        <f t="shared" si="7"/>
        <v>27.711587853727533</v>
      </c>
      <c r="H25" s="13">
        <f>G25-G24</f>
        <v>1.9279676402736641</v>
      </c>
      <c r="J25">
        <v>0.19382002601611284</v>
      </c>
      <c r="K25" s="8">
        <f t="shared" si="8"/>
        <v>25.600679029067834</v>
      </c>
    </row>
    <row r="26" spans="2:11" ht="17" thickBot="1" x14ac:dyDescent="0.25">
      <c r="B26" s="3">
        <v>9.765625E-2</v>
      </c>
      <c r="C26" s="9">
        <v>-1.0103</v>
      </c>
      <c r="D26" s="11">
        <v>29.535011305664302</v>
      </c>
      <c r="E26" s="4">
        <v>29.319594254954801</v>
      </c>
      <c r="F26" s="4">
        <v>30.1326805752309</v>
      </c>
      <c r="G26" s="11">
        <f t="shared" si="7"/>
        <v>29.662428711950003</v>
      </c>
      <c r="H26" s="14">
        <f>G26-G25</f>
        <v>1.9508408582224703</v>
      </c>
      <c r="J26">
        <v>-0.40823996531184958</v>
      </c>
      <c r="K26" s="8">
        <f>G16</f>
        <v>27.462782989270135</v>
      </c>
    </row>
    <row r="27" spans="2:11" x14ac:dyDescent="0.2">
      <c r="J27">
        <v>-1.0102999566398119</v>
      </c>
      <c r="K27" s="8">
        <f t="shared" si="8"/>
        <v>29.628219501083965</v>
      </c>
    </row>
    <row r="29" spans="2:11" x14ac:dyDescent="0.2">
      <c r="J29" s="21" t="s">
        <v>3</v>
      </c>
    </row>
    <row r="30" spans="2:11" x14ac:dyDescent="0.2">
      <c r="B30" s="21" t="s">
        <v>18</v>
      </c>
      <c r="J30" s="22" t="s">
        <v>15</v>
      </c>
      <c r="K30" s="23" t="s">
        <v>16</v>
      </c>
    </row>
    <row r="31" spans="2:11" x14ac:dyDescent="0.2">
      <c r="C31" t="s">
        <v>17</v>
      </c>
      <c r="D31" t="s">
        <v>11</v>
      </c>
      <c r="E31" t="s">
        <v>12</v>
      </c>
      <c r="J31">
        <v>2</v>
      </c>
      <c r="K31" s="8">
        <f>G21</f>
        <v>19.920696841105467</v>
      </c>
    </row>
    <row r="32" spans="2:11" x14ac:dyDescent="0.2">
      <c r="B32">
        <v>2</v>
      </c>
      <c r="C32" s="10">
        <v>20.8691810422063</v>
      </c>
      <c r="D32" s="10">
        <v>19.574304594818699</v>
      </c>
      <c r="E32" s="10">
        <v>19.8103886113608</v>
      </c>
      <c r="J32">
        <v>1.3979400086720377</v>
      </c>
      <c r="K32" s="8">
        <f t="shared" ref="K32:K35" si="9">G22</f>
        <v>21.868812188752866</v>
      </c>
    </row>
    <row r="33" spans="2:11" x14ac:dyDescent="0.2">
      <c r="B33">
        <v>1.3979400086720377</v>
      </c>
      <c r="C33" s="10">
        <v>22.818759407722901</v>
      </c>
      <c r="D33" s="10">
        <v>21.558890547880701</v>
      </c>
      <c r="E33" s="10">
        <v>21.894846056706498</v>
      </c>
      <c r="J33">
        <v>0.79588001734407521</v>
      </c>
      <c r="K33" s="8">
        <f t="shared" si="9"/>
        <v>25.686189805812802</v>
      </c>
    </row>
    <row r="34" spans="2:11" x14ac:dyDescent="0.2">
      <c r="B34">
        <v>0.79588001734407521</v>
      </c>
      <c r="C34" s="10">
        <v>24.5672818110355</v>
      </c>
      <c r="D34" s="10">
        <v>23.3599997959981</v>
      </c>
      <c r="E34" s="10">
        <v>23.885091907046501</v>
      </c>
      <c r="J34">
        <v>0.19382002601611284</v>
      </c>
      <c r="K34" s="8">
        <f t="shared" si="9"/>
        <v>25.783620213453869</v>
      </c>
    </row>
    <row r="35" spans="2:11" x14ac:dyDescent="0.2">
      <c r="B35">
        <v>0.19382002601611284</v>
      </c>
      <c r="C35" s="10">
        <v>26.637469536611299</v>
      </c>
      <c r="D35" s="10">
        <v>25.5002601452688</v>
      </c>
      <c r="E35" s="10">
        <v>25.867062669112201</v>
      </c>
      <c r="J35">
        <v>-0.40823996531184958</v>
      </c>
      <c r="K35" s="8">
        <f t="shared" si="9"/>
        <v>27.711587853727533</v>
      </c>
    </row>
    <row r="36" spans="2:11" x14ac:dyDescent="0.2">
      <c r="B36">
        <v>-0.40823996531184958</v>
      </c>
      <c r="C36" s="10">
        <v>28.575880738008699</v>
      </c>
      <c r="D36" s="10">
        <v>27.420496212558501</v>
      </c>
      <c r="E36" s="10">
        <v>27.738444562444901</v>
      </c>
      <c r="J36">
        <v>-1.0102999566398119</v>
      </c>
      <c r="K36" s="8">
        <f>G26</f>
        <v>29.662428711950003</v>
      </c>
    </row>
    <row r="37" spans="2:11" ht="17" thickBot="1" x14ac:dyDescent="0.25">
      <c r="B37">
        <v>-1.0102999566398119</v>
      </c>
      <c r="C37" s="11">
        <v>31.498446152119499</v>
      </c>
      <c r="D37" s="11">
        <v>29.674205598765901</v>
      </c>
      <c r="E37" s="11">
        <v>29.535011305664302</v>
      </c>
    </row>
    <row r="38" spans="2:11" x14ac:dyDescent="0.2">
      <c r="B38">
        <v>2</v>
      </c>
      <c r="C38" s="2">
        <v>20.703226894906201</v>
      </c>
      <c r="D38" s="2">
        <v>19.464890845582101</v>
      </c>
      <c r="E38" s="2">
        <v>19.933702806850398</v>
      </c>
    </row>
    <row r="39" spans="2:11" x14ac:dyDescent="0.2">
      <c r="B39">
        <v>1.3979400086720377</v>
      </c>
      <c r="C39" s="2">
        <v>22.643074016565802</v>
      </c>
      <c r="D39" s="2">
        <v>21.391512872868802</v>
      </c>
      <c r="E39" s="2">
        <v>21.829501531007999</v>
      </c>
    </row>
    <row r="40" spans="2:11" x14ac:dyDescent="0.2">
      <c r="B40">
        <v>0.79588001734407521</v>
      </c>
      <c r="C40" s="2">
        <v>24.718118985788799</v>
      </c>
      <c r="D40" s="2">
        <v>23.322783770440601</v>
      </c>
      <c r="E40" s="2">
        <v>23.765399945870001</v>
      </c>
    </row>
    <row r="41" spans="2:11" x14ac:dyDescent="0.2">
      <c r="B41">
        <v>0.19382002601611284</v>
      </c>
      <c r="C41" s="2">
        <v>26.833788955054001</v>
      </c>
      <c r="D41" s="2">
        <v>25.709561624562699</v>
      </c>
      <c r="E41" s="2">
        <v>25.809652726326899</v>
      </c>
    </row>
    <row r="42" spans="2:11" x14ac:dyDescent="0.2">
      <c r="B42">
        <v>-0.40823996531184958</v>
      </c>
      <c r="C42" s="2">
        <v>28.724701384389299</v>
      </c>
      <c r="D42" s="2">
        <v>27.372806586444302</v>
      </c>
      <c r="E42" s="2">
        <v>27.6116243240009</v>
      </c>
    </row>
    <row r="43" spans="2:11" ht="17" thickBot="1" x14ac:dyDescent="0.25">
      <c r="B43">
        <v>-1.0102999566398119</v>
      </c>
      <c r="C43" s="4">
        <v>30.431830074343001</v>
      </c>
      <c r="D43" s="4">
        <v>29.632888371947399</v>
      </c>
      <c r="E43" s="4">
        <v>29.319594254954801</v>
      </c>
    </row>
    <row r="44" spans="2:11" x14ac:dyDescent="0.2">
      <c r="B44">
        <v>2</v>
      </c>
      <c r="C44" s="2">
        <v>20.67</v>
      </c>
      <c r="D44" s="2">
        <v>19.428196113762201</v>
      </c>
      <c r="E44" s="2">
        <v>20.017999105105201</v>
      </c>
    </row>
    <row r="45" spans="2:11" x14ac:dyDescent="0.2">
      <c r="B45">
        <v>1.3979400086720377</v>
      </c>
      <c r="C45" s="2">
        <v>22.644857566000599</v>
      </c>
      <c r="D45" s="2">
        <v>21.467429123173201</v>
      </c>
      <c r="E45" s="2">
        <v>21.8820889785441</v>
      </c>
    </row>
    <row r="46" spans="2:11" x14ac:dyDescent="0.2">
      <c r="B46">
        <v>0.79588001734407521</v>
      </c>
      <c r="C46" s="2">
        <v>24.701377893675801</v>
      </c>
      <c r="D46" s="2">
        <v>23.419139188151</v>
      </c>
      <c r="E46" s="2">
        <v>29.4080775645219</v>
      </c>
    </row>
    <row r="47" spans="2:11" x14ac:dyDescent="0.2">
      <c r="B47">
        <v>0.19382002601611284</v>
      </c>
      <c r="C47" s="2">
        <v>26.844481543426099</v>
      </c>
      <c r="D47" s="2">
        <v>25.592215317371998</v>
      </c>
      <c r="E47" s="2">
        <v>25.674145244922499</v>
      </c>
    </row>
    <row r="48" spans="2:11" x14ac:dyDescent="0.2">
      <c r="B48">
        <v>-0.40823996531184958</v>
      </c>
      <c r="C48" s="2">
        <v>28.798460015611202</v>
      </c>
      <c r="D48" s="2">
        <v>27.595046168807599</v>
      </c>
      <c r="E48" s="2">
        <v>27.784694674736802</v>
      </c>
    </row>
    <row r="49" spans="2:5" ht="17" thickBot="1" x14ac:dyDescent="0.25">
      <c r="B49">
        <v>-1.0102999566398119</v>
      </c>
      <c r="C49" s="4">
        <v>30.530098003621301</v>
      </c>
      <c r="D49" s="4">
        <v>29.577564532538599</v>
      </c>
      <c r="E49" s="4">
        <v>30.1326805752309</v>
      </c>
    </row>
  </sheetData>
  <conditionalFormatting sqref="L3:L5">
    <cfRule type="cellIs" dxfId="1" priority="2" operator="lessThan">
      <formula>90</formula>
    </cfRule>
    <cfRule type="cellIs" dxfId="0" priority="3" operator="greaterThanOrEqual">
      <formula>90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2023-07-11T18:50:07Z</dcterms:created>
  <dcterms:modified xsi:type="dcterms:W3CDTF">2023-07-12T15:52:47Z</dcterms:modified>
</cp:coreProperties>
</file>